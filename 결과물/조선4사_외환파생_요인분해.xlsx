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식·사용법" sheetId="1" state="visible" r:id="rId1"/>
    <sheet name="HD현대중공업" sheetId="2" state="visible" r:id="rId2"/>
    <sheet name="HD한국조선해양" sheetId="3" state="visible" r:id="rId3"/>
    <sheet name="삼성중공업" sheetId="4" state="visible" r:id="rId4"/>
    <sheet name="한화오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;-#,##0"/>
    <numFmt numFmtId="166" formatCode="#,##0;(#,##0)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sz val="9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2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6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6" fillId="3" borderId="0" pivotButton="0" quotePrefix="0" xfId="0"/>
    <xf numFmtId="164" fontId="6" fillId="0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6" fontId="3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조선 4사 외환·파생손익 요인 분해 (IFRS 18 대응 IS 모델용)</t>
        </is>
      </c>
    </row>
    <row r="2">
      <c r="A2" s="2" t="inlineStr"/>
    </row>
    <row r="3">
      <c r="A3" s="3" t="inlineStr">
        <is>
          <t>■ 손익을 움직이는 요인 (분기마다 2개의 환율 요인)</t>
        </is>
      </c>
    </row>
    <row r="4">
      <c r="A4" s="2" t="inlineStr">
        <is>
          <t xml:space="preserve">   Δe = 분기말 환율 − 전분기말 환율     → 장부 위 달러와 파생계약이 '기말 재평가'되는 폭</t>
        </is>
      </c>
    </row>
    <row r="5">
      <c r="A5" s="2" t="inlineStr">
        <is>
          <t xml:space="preserve">   m  = 분기평균 환율 − 전분기말 환율   → 분기 중 '결제'된 달러가 장부가 대비 얻은 폭</t>
        </is>
      </c>
    </row>
    <row r="6">
      <c r="A6" s="2" t="inlineStr"/>
    </row>
    <row r="7">
      <c r="A7" s="3" t="inlineStr">
        <is>
          <t>■ 계산 공식 (단위: 백만원, 계수는 십억달러 단위)</t>
        </is>
      </c>
    </row>
    <row r="8">
      <c r="A8" s="2" t="inlineStr">
        <is>
          <t xml:space="preserve">   순외환손익 = ( NFA × Δe + F_fx × m ) × 1,000</t>
        </is>
      </c>
    </row>
    <row r="9">
      <c r="A9" s="2" t="inlineStr">
        <is>
          <t xml:space="preserve">   순파생손익 = ( −H × Δe + F_dv × m ) × 1,000</t>
        </is>
      </c>
    </row>
    <row r="10">
      <c r="A10" s="2" t="inlineStr">
        <is>
          <t xml:space="preserve">      NFA  = 순달러자산: 장부에 올라온 달러(채권·예금 − 차입). 환율↑ 시 이익</t>
        </is>
      </c>
    </row>
    <row r="11">
      <c r="A11" s="2" t="inlineStr">
        <is>
          <t xml:space="preserve">      H    = 유효 헤지 명목: 통화선도 매도 중 손익계산서에 '비치는' 부분. 환율↑ 시 손실</t>
        </is>
      </c>
    </row>
    <row r="12">
      <c r="A12" s="2" t="inlineStr">
        <is>
          <t xml:space="preserve">      F_fx, F_dv = 분기 중 결제되는 달러 물량 (실현손익 요인)</t>
        </is>
      </c>
    </row>
    <row r="13">
      <c r="A13" s="2" t="inlineStr"/>
    </row>
    <row r="14">
      <c r="A14" s="3" t="inlineStr">
        <is>
          <t>■ 회사별 계수 (2022Q1~ 실적 회귀, 한화오션 외환은 2023Q1~ / 근사 환율 기준)</t>
        </is>
      </c>
    </row>
    <row r="16">
      <c r="A16" s="4" t="inlineStr">
        <is>
          <t>회사</t>
        </is>
      </c>
      <c r="B16" s="4" t="inlineStr">
        <is>
          <t>NFA ($B)</t>
        </is>
      </c>
      <c r="C16" s="4" t="inlineStr">
        <is>
          <t>F_fx ($B)</t>
        </is>
      </c>
      <c r="D16" s="4" t="inlineStr">
        <is>
          <t>H ($B)</t>
        </is>
      </c>
      <c r="E16" s="4" t="inlineStr">
        <is>
          <t>F_dv ($B)</t>
        </is>
      </c>
      <c r="F16" s="4" t="inlineStr">
        <is>
          <t>R²(외환)</t>
        </is>
      </c>
      <c r="G16" s="4" t="inlineStr">
        <is>
          <t>R²(파생)</t>
        </is>
      </c>
    </row>
    <row r="17">
      <c r="A17" s="2" t="inlineStr">
        <is>
          <t>HD현대중공업</t>
        </is>
      </c>
      <c r="B17" s="5" t="n">
        <v>0.95</v>
      </c>
      <c r="C17" s="5" t="n">
        <v>1.45</v>
      </c>
      <c r="D17" s="5" t="n">
        <v>9.56</v>
      </c>
      <c r="E17" s="5" t="n">
        <v>-2.21</v>
      </c>
      <c r="F17" s="5" t="n">
        <v>0.9</v>
      </c>
      <c r="G17" s="5" t="n">
        <v>0.97</v>
      </c>
    </row>
    <row r="18">
      <c r="A18" s="2" t="inlineStr">
        <is>
          <t>HD한국조선해양</t>
        </is>
      </c>
      <c r="B18" s="5" t="n">
        <v>3.17</v>
      </c>
      <c r="C18" s="5" t="n">
        <v>1.54</v>
      </c>
      <c r="D18" s="5" t="n">
        <v>15.87</v>
      </c>
      <c r="E18" s="5" t="n">
        <v>-3.4</v>
      </c>
      <c r="F18" s="5" t="n">
        <v>0.98</v>
      </c>
      <c r="G18" s="5" t="n">
        <v>0.98</v>
      </c>
    </row>
    <row r="19">
      <c r="A19" s="2" t="inlineStr">
        <is>
          <t>삼성중공업</t>
        </is>
      </c>
      <c r="B19" s="5" t="n">
        <v>-0.37</v>
      </c>
      <c r="C19" s="5" t="n">
        <v>1.59</v>
      </c>
      <c r="D19" s="5" t="n">
        <v>18.72</v>
      </c>
      <c r="E19" s="5" t="n">
        <v>2.4</v>
      </c>
      <c r="F19" s="5" t="n">
        <v>0.38</v>
      </c>
      <c r="G19" s="5" t="n">
        <v>0.96</v>
      </c>
    </row>
    <row r="20">
      <c r="A20" s="2" t="inlineStr">
        <is>
          <t>한화오션</t>
        </is>
      </c>
      <c r="B20" s="5" t="n">
        <v>1.36</v>
      </c>
      <c r="C20" s="5" t="n">
        <v>-1.14</v>
      </c>
      <c r="D20" s="5" t="n">
        <v>3.85</v>
      </c>
      <c r="E20" s="5" t="n">
        <v>0.26</v>
      </c>
      <c r="F20" s="5" t="n">
        <v>0.82</v>
      </c>
      <c r="G20" s="5" t="n">
        <v>0.71</v>
      </c>
    </row>
    <row r="21">
      <c r="A21" s="2" t="inlineStr"/>
    </row>
    <row r="22">
      <c r="A22" s="3" t="inlineStr">
        <is>
          <t>■ 사용법 (회사별 시트)</t>
        </is>
      </c>
    </row>
    <row r="23">
      <c r="A23" s="2" t="inlineStr">
        <is>
          <t xml:space="preserve">   1. 노란 칸이 입력값: 미래 분기의 '분기말 환율'과 '분기평균 환율'을 채우면 추정 손익이 자동 계산</t>
        </is>
      </c>
    </row>
    <row r="24">
      <c r="A24" s="2" t="inlineStr">
        <is>
          <t xml:space="preserve">   2. 계수(노란 칸, 시트 상단)는 실적 발표 때마다 fx_pnl 재캘리브레이션 값으로 교체 (shipbuilding 리포지토리</t>
        </is>
      </c>
    </row>
    <row r="25">
      <c r="A25" s="2" t="inlineStr">
        <is>
          <t xml:space="preserve">      python -m src.fx_pnl --refresh-rates 후 --backtest --since 2022Q1 결과)</t>
        </is>
      </c>
    </row>
    <row r="26">
      <c r="A26" s="2" t="inlineStr">
        <is>
          <t xml:space="preserve">   3. '실제' 열은 DART 주석에서 추출한 값, '오차'로 모델 적합도를 분기마다 점검</t>
        </is>
      </c>
    </row>
    <row r="27">
      <c r="A27" s="2" t="inlineStr"/>
    </row>
    <row r="28">
      <c r="A28" s="3" t="inlineStr">
        <is>
          <t>■ 주의</t>
        </is>
      </c>
    </row>
    <row r="29">
      <c r="A29" s="2" t="inlineStr">
        <is>
          <t xml:space="preserve">   · 2024Q4까지 환율은 근사값(시드) — 실측으로 갱신 시 추정치가 소폭 변함</t>
        </is>
      </c>
    </row>
    <row r="30">
      <c r="A30" s="2" t="inlineStr">
        <is>
          <t xml:space="preserve">   · H는 공시 명목(예: HD重 $16.8B)이 아니라 손익에 비치는 유효 노출($9.6B). 공시 명목이 크게 변하면</t>
        </is>
      </c>
    </row>
    <row r="31">
      <c r="A31" s="2" t="inlineStr">
        <is>
          <t xml:space="preserve">     유효 H = 공시 명목 × 투과율(≈0.57)로 스케일 조정</t>
        </is>
      </c>
    </row>
    <row r="32">
      <c r="A32" s="2" t="inlineStr">
        <is>
          <t xml:space="preserve">   · 한화오션은 2023년(한화 인수) 이전 외환 포지션 부호가 반대 — 2023년 이후 계수만 유효</t>
        </is>
      </c>
    </row>
    <row r="33">
      <c r="A33" s="2" t="inlineStr">
        <is>
          <t xml:space="preserve">   · 삼성중공업 외환 R² 낮음(NFA≈0이라 노이즈) — 금액이 작아 실익 영향 미미</t>
        </is>
      </c>
    </row>
    <row r="34">
      <c r="A34" s="2" t="inlineStr">
        <is>
          <t xml:space="preserve">   · 추정치의 상당분은 미실현 평가손익 — 미래 매출에서 반대 방향으로 회수되는 회계 미스매치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6" t="inlineStr">
        <is>
          <t>HD현대중공업 — 외환·파생손익 요인 분해</t>
        </is>
      </c>
    </row>
    <row r="2">
      <c r="A2" s="7" t="inlineStr">
        <is>
          <t>(단위: 백만원 / 노란 칸 = 입력값 / 추정 = 공식·사용법 시트의 우산 모델 수식 / 실제 = DART 주석 추출값)</t>
        </is>
      </c>
    </row>
    <row r="3">
      <c r="A3" s="3" t="inlineStr">
        <is>
          <t>NFA($B)</t>
        </is>
      </c>
      <c r="B3" s="8" t="n">
        <v>0.95</v>
      </c>
      <c r="C3" s="3" t="inlineStr">
        <is>
          <t>F_fx($B)</t>
        </is>
      </c>
      <c r="D3" s="8" t="n">
        <v>1.45</v>
      </c>
      <c r="E3" s="3" t="inlineStr">
        <is>
          <t>H($B)</t>
        </is>
      </c>
      <c r="F3" s="8" t="n">
        <v>9.56</v>
      </c>
      <c r="G3" s="3" t="inlineStr">
        <is>
          <t>F_dv($B)</t>
        </is>
      </c>
      <c r="H3" s="8" t="n">
        <v>-2.21</v>
      </c>
    </row>
    <row r="5">
      <c r="A5" s="9" t="inlineStr">
        <is>
          <t>분기</t>
        </is>
      </c>
      <c r="B5" s="9" t="inlineStr">
        <is>
          <t>분기말 환율</t>
        </is>
      </c>
      <c r="C5" s="9" t="inlineStr">
        <is>
          <t>Δe (기말-전기말)</t>
        </is>
      </c>
      <c r="D5" s="9" t="inlineStr">
        <is>
          <t>분기평균 환율</t>
        </is>
      </c>
      <c r="E5" s="9" t="inlineStr">
        <is>
          <t>m (평균-전기말)</t>
        </is>
      </c>
      <c r="F5" s="9" t="inlineStr">
        <is>
          <t>추정 순외환</t>
        </is>
      </c>
      <c r="G5" s="9" t="inlineStr">
        <is>
          <t>추정 순파생</t>
        </is>
      </c>
      <c r="H5" s="9" t="inlineStr">
        <is>
          <t>추정 합산</t>
        </is>
      </c>
      <c r="I5" s="9" t="inlineStr">
        <is>
          <t>실제 순외환</t>
        </is>
      </c>
      <c r="J5" s="9" t="inlineStr">
        <is>
          <t>실제 순파생</t>
        </is>
      </c>
      <c r="K5" s="9" t="inlineStr">
        <is>
          <t>실제 합산</t>
        </is>
      </c>
      <c r="L5" s="9" t="inlineStr">
        <is>
          <t>오차 (실제-추정)</t>
        </is>
      </c>
    </row>
    <row r="6">
      <c r="A6" s="2" t="inlineStr">
        <is>
          <t>2020Q4</t>
        </is>
      </c>
      <c r="B6" s="10" t="n">
        <v>1086</v>
      </c>
    </row>
    <row r="7">
      <c r="A7" s="2" t="inlineStr">
        <is>
          <t>2021Q1</t>
        </is>
      </c>
      <c r="B7" s="11" t="n">
        <v>1132</v>
      </c>
      <c r="C7" s="12">
        <f>IF(B7="","",B7-B6)</f>
        <v/>
      </c>
      <c r="D7" s="11" t="n">
        <v>1114</v>
      </c>
      <c r="E7" s="12">
        <f>IF(D7="","",D7-B6)</f>
        <v/>
      </c>
      <c r="F7" s="13" t="n"/>
      <c r="G7" s="13" t="n"/>
      <c r="H7" s="14" t="n"/>
      <c r="I7" s="13" t="n">
        <v>61104</v>
      </c>
      <c r="J7" s="13" t="n">
        <v>-151470</v>
      </c>
      <c r="K7" s="14" t="n">
        <v>-90366</v>
      </c>
      <c r="L7" s="13" t="n"/>
    </row>
    <row r="8">
      <c r="A8" s="2" t="inlineStr">
        <is>
          <t>2021Q2</t>
        </is>
      </c>
      <c r="B8" s="11" t="n">
        <v>1126</v>
      </c>
      <c r="C8" s="12">
        <f>IF(B8="","",B8-B7)</f>
        <v/>
      </c>
      <c r="D8" s="11" t="n">
        <v>1121</v>
      </c>
      <c r="E8" s="12">
        <f>IF(D8="","",D8-B7)</f>
        <v/>
      </c>
      <c r="F8" s="13" t="n"/>
      <c r="G8" s="13" t="n"/>
      <c r="H8" s="14" t="n"/>
      <c r="I8" s="13" t="n">
        <v>-8350</v>
      </c>
      <c r="J8" s="13" t="n">
        <v>-5056</v>
      </c>
      <c r="K8" s="14" t="n">
        <v>-13406</v>
      </c>
      <c r="L8" s="13" t="n"/>
    </row>
    <row r="9">
      <c r="A9" s="2" t="inlineStr">
        <is>
          <t>2021Q3</t>
        </is>
      </c>
      <c r="B9" s="11" t="n">
        <v>1184</v>
      </c>
      <c r="C9" s="12">
        <f>IF(B9="","",B9-B8)</f>
        <v/>
      </c>
      <c r="D9" s="11" t="n">
        <v>1157</v>
      </c>
      <c r="E9" s="12">
        <f>IF(D9="","",D9-B8)</f>
        <v/>
      </c>
      <c r="F9" s="13" t="n"/>
      <c r="G9" s="13" t="n"/>
      <c r="H9" s="14" t="n"/>
      <c r="I9" s="13" t="n">
        <v>35515</v>
      </c>
      <c r="J9" s="13" t="n">
        <v>-314095</v>
      </c>
      <c r="K9" s="14" t="n">
        <v>-278580</v>
      </c>
      <c r="L9" s="13" t="n"/>
    </row>
    <row r="10">
      <c r="A10" s="2" t="inlineStr">
        <is>
          <t>2021Q4</t>
        </is>
      </c>
      <c r="B10" s="11" t="n">
        <v>1189</v>
      </c>
      <c r="C10" s="12">
        <f>IF(B10="","",B10-B9)</f>
        <v/>
      </c>
      <c r="D10" s="11" t="n">
        <v>1183</v>
      </c>
      <c r="E10" s="12">
        <f>IF(D10="","",D10-B9)</f>
        <v/>
      </c>
      <c r="F10" s="13" t="n"/>
      <c r="G10" s="13" t="n"/>
      <c r="H10" s="14" t="n"/>
      <c r="I10" s="13" t="n">
        <v>368</v>
      </c>
      <c r="J10" s="13" t="n">
        <v>4626</v>
      </c>
      <c r="K10" s="14" t="n">
        <v>4994</v>
      </c>
      <c r="L10" s="13" t="n"/>
    </row>
    <row r="11">
      <c r="A11" s="2" t="inlineStr">
        <is>
          <t>2022Q1</t>
        </is>
      </c>
      <c r="B11" s="11" t="n">
        <v>1212</v>
      </c>
      <c r="C11" s="12">
        <f>IF(B11="","",B11-B10)</f>
        <v/>
      </c>
      <c r="D11" s="11" t="n">
        <v>1205</v>
      </c>
      <c r="E11" s="12">
        <f>IF(D11="","",D11-B10)</f>
        <v/>
      </c>
      <c r="F11" s="13">
        <f>IF(C11="","",($B$3*C11+$D$3*E11)*1000)</f>
        <v/>
      </c>
      <c r="G11" s="13">
        <f>IF(C11="","",(-$F$3*C11+$H$3*E11)*1000)</f>
        <v/>
      </c>
      <c r="H11" s="14">
        <f>IF(F11="","",F11+G11)</f>
        <v/>
      </c>
      <c r="I11" s="13" t="n">
        <v>27290</v>
      </c>
      <c r="J11" s="13" t="n">
        <v>-43347</v>
      </c>
      <c r="K11" s="14" t="n">
        <v>-16057</v>
      </c>
      <c r="L11" s="13">
        <f>IF(H11="","",K11-H11)</f>
        <v/>
      </c>
    </row>
    <row r="12">
      <c r="A12" s="2" t="inlineStr">
        <is>
          <t>2022Q2</t>
        </is>
      </c>
      <c r="B12" s="11" t="n">
        <v>1292</v>
      </c>
      <c r="C12" s="12">
        <f>IF(B12="","",B12-B11)</f>
        <v/>
      </c>
      <c r="D12" s="11" t="n">
        <v>1260</v>
      </c>
      <c r="E12" s="12">
        <f>IF(D12="","",D12-B11)</f>
        <v/>
      </c>
      <c r="F12" s="13">
        <f>IF(C12="","",($B$3*C12+$D$3*E12)*1000)</f>
        <v/>
      </c>
      <c r="G12" s="13">
        <f>IF(C12="","",(-$F$3*C12+$H$3*E12)*1000)</f>
        <v/>
      </c>
      <c r="H12" s="14">
        <f>IF(F12="","",F12+G12)</f>
        <v/>
      </c>
      <c r="I12" s="13" t="n">
        <v>76246</v>
      </c>
      <c r="J12" s="13" t="n">
        <v>-697946</v>
      </c>
      <c r="K12" s="14" t="n">
        <v>-621700</v>
      </c>
      <c r="L12" s="13">
        <f>IF(H12="","",K12-H12)</f>
        <v/>
      </c>
    </row>
    <row r="13">
      <c r="A13" s="2" t="inlineStr">
        <is>
          <t>2022Q3</t>
        </is>
      </c>
      <c r="B13" s="11" t="n">
        <v>1431</v>
      </c>
      <c r="C13" s="12">
        <f>IF(B13="","",B13-B12)</f>
        <v/>
      </c>
      <c r="D13" s="11" t="n">
        <v>1338</v>
      </c>
      <c r="E13" s="12">
        <f>IF(D13="","",D13-B12)</f>
        <v/>
      </c>
      <c r="F13" s="13">
        <f>IF(C13="","",($B$3*C13+$D$3*E13)*1000)</f>
        <v/>
      </c>
      <c r="G13" s="13">
        <f>IF(C13="","",(-$F$3*C13+$H$3*E13)*1000)</f>
        <v/>
      </c>
      <c r="H13" s="14">
        <f>IF(F13="","",F13+G13)</f>
        <v/>
      </c>
      <c r="I13" s="13" t="n">
        <v>140148</v>
      </c>
      <c r="J13" s="13" t="n">
        <v>-1369645</v>
      </c>
      <c r="K13" s="14" t="n">
        <v>-1229497</v>
      </c>
      <c r="L13" s="13">
        <f>IF(H13="","",K13-H13)</f>
        <v/>
      </c>
    </row>
    <row r="14">
      <c r="A14" s="2" t="inlineStr">
        <is>
          <t>2022Q4</t>
        </is>
      </c>
      <c r="B14" s="11" t="n">
        <v>1265</v>
      </c>
      <c r="C14" s="12">
        <f>IF(B14="","",B14-B13)</f>
        <v/>
      </c>
      <c r="D14" s="11" t="n">
        <v>1359</v>
      </c>
      <c r="E14" s="12">
        <f>IF(D14="","",D14-B13)</f>
        <v/>
      </c>
      <c r="F14" s="13">
        <f>IF(C14="","",($B$3*C14+$D$3*E14)*1000)</f>
        <v/>
      </c>
      <c r="G14" s="13">
        <f>IF(C14="","",(-$F$3*C14+$H$3*E14)*1000)</f>
        <v/>
      </c>
      <c r="H14" s="14">
        <f>IF(F14="","",F14+G14)</f>
        <v/>
      </c>
      <c r="I14" s="13" t="n">
        <v>-220975</v>
      </c>
      <c r="J14" s="13" t="n">
        <v>1708181</v>
      </c>
      <c r="K14" s="14" t="n">
        <v>1487206</v>
      </c>
      <c r="L14" s="13">
        <f>IF(H14="","",K14-H14)</f>
        <v/>
      </c>
    </row>
    <row r="15">
      <c r="A15" s="2" t="inlineStr">
        <is>
          <t>2023Q1</t>
        </is>
      </c>
      <c r="B15" s="11" t="n">
        <v>1302</v>
      </c>
      <c r="C15" s="12">
        <f>IF(B15="","",B15-B14)</f>
        <v/>
      </c>
      <c r="D15" s="11" t="n">
        <v>1276</v>
      </c>
      <c r="E15" s="12">
        <f>IF(D15="","",D15-B14)</f>
        <v/>
      </c>
      <c r="F15" s="13">
        <f>IF(C15="","",($B$3*C15+$D$3*E15)*1000)</f>
        <v/>
      </c>
      <c r="G15" s="13">
        <f>IF(C15="","",(-$F$3*C15+$H$3*E15)*1000)</f>
        <v/>
      </c>
      <c r="H15" s="14">
        <f>IF(F15="","",F15+G15)</f>
        <v/>
      </c>
      <c r="I15" s="13" t="n">
        <v>49383</v>
      </c>
      <c r="J15" s="13" t="n">
        <v>-447148</v>
      </c>
      <c r="K15" s="14" t="n">
        <v>-397765</v>
      </c>
      <c r="L15" s="13">
        <f>IF(H15="","",K15-H15)</f>
        <v/>
      </c>
    </row>
    <row r="16">
      <c r="A16" s="2" t="inlineStr">
        <is>
          <t>2023Q2</t>
        </is>
      </c>
      <c r="B16" s="11" t="n">
        <v>1318</v>
      </c>
      <c r="C16" s="12">
        <f>IF(B16="","",B16-B15)</f>
        <v/>
      </c>
      <c r="D16" s="11" t="n">
        <v>1315</v>
      </c>
      <c r="E16" s="12">
        <f>IF(D16="","",D16-B15)</f>
        <v/>
      </c>
      <c r="F16" s="13">
        <f>IF(C16="","",($B$3*C16+$D$3*E16)*1000)</f>
        <v/>
      </c>
      <c r="G16" s="13">
        <f>IF(C16="","",(-$F$3*C16+$H$3*E16)*1000)</f>
        <v/>
      </c>
      <c r="H16" s="14">
        <f>IF(F16="","",F16+G16)</f>
        <v/>
      </c>
      <c r="I16" s="13" t="n">
        <v>15884</v>
      </c>
      <c r="J16" s="13" t="n">
        <v>-58963</v>
      </c>
      <c r="K16" s="14" t="n">
        <v>-43079</v>
      </c>
      <c r="L16" s="13">
        <f>IF(H16="","",K16-H16)</f>
        <v/>
      </c>
    </row>
    <row r="17">
      <c r="A17" s="2" t="inlineStr">
        <is>
          <t>2023Q3</t>
        </is>
      </c>
      <c r="B17" s="11" t="n">
        <v>1349</v>
      </c>
      <c r="C17" s="12">
        <f>IF(B17="","",B17-B16)</f>
        <v/>
      </c>
      <c r="D17" s="11" t="n">
        <v>1311</v>
      </c>
      <c r="E17" s="12">
        <f>IF(D17="","",D17-B16)</f>
        <v/>
      </c>
      <c r="F17" s="13">
        <f>IF(C17="","",($B$3*C17+$D$3*E17)*1000)</f>
        <v/>
      </c>
      <c r="G17" s="13">
        <f>IF(C17="","",(-$F$3*C17+$H$3*E17)*1000)</f>
        <v/>
      </c>
      <c r="H17" s="14">
        <f>IF(F17="","",F17+G17)</f>
        <v/>
      </c>
      <c r="I17" s="13" t="n">
        <v>56903</v>
      </c>
      <c r="J17" s="13" t="n">
        <v>-453660</v>
      </c>
      <c r="K17" s="14" t="n">
        <v>-396757</v>
      </c>
      <c r="L17" s="13">
        <f>IF(H17="","",K17-H17)</f>
        <v/>
      </c>
    </row>
    <row r="18">
      <c r="A18" s="2" t="inlineStr">
        <is>
          <t>2023Q4</t>
        </is>
      </c>
      <c r="B18" s="11" t="n">
        <v>1289</v>
      </c>
      <c r="C18" s="12">
        <f>IF(B18="","",B18-B17)</f>
        <v/>
      </c>
      <c r="D18" s="11" t="n">
        <v>1321</v>
      </c>
      <c r="E18" s="12">
        <f>IF(D18="","",D18-B17)</f>
        <v/>
      </c>
      <c r="F18" s="13">
        <f>IF(C18="","",($B$3*C18+$D$3*E18)*1000)</f>
        <v/>
      </c>
      <c r="G18" s="13">
        <f>IF(C18="","",(-$F$3*C18+$H$3*E18)*1000)</f>
        <v/>
      </c>
      <c r="H18" s="14">
        <f>IF(F18="","",F18+G18)</f>
        <v/>
      </c>
      <c r="I18" s="13" t="n">
        <v>-111941</v>
      </c>
      <c r="J18" s="13" t="n">
        <v>501291</v>
      </c>
      <c r="K18" s="14" t="n">
        <v>389350</v>
      </c>
      <c r="L18" s="13">
        <f>IF(H18="","",K18-H18)</f>
        <v/>
      </c>
    </row>
    <row r="19">
      <c r="A19" s="2" t="inlineStr">
        <is>
          <t>2024Q1</t>
        </is>
      </c>
      <c r="B19" s="11" t="n">
        <v>1347</v>
      </c>
      <c r="C19" s="12">
        <f>IF(B19="","",B19-B18)</f>
        <v/>
      </c>
      <c r="D19" s="11" t="n">
        <v>1329</v>
      </c>
      <c r="E19" s="12">
        <f>IF(D19="","",D19-B18)</f>
        <v/>
      </c>
      <c r="F19" s="13">
        <f>IF(C19="","",($B$3*C19+$D$3*E19)*1000)</f>
        <v/>
      </c>
      <c r="G19" s="13">
        <f>IF(C19="","",(-$F$3*C19+$H$3*E19)*1000)</f>
        <v/>
      </c>
      <c r="H19" s="14">
        <f>IF(F19="","",F19+G19)</f>
        <v/>
      </c>
      <c r="I19" s="13" t="n">
        <v>117165</v>
      </c>
      <c r="J19" s="13" t="n">
        <v>-718294</v>
      </c>
      <c r="K19" s="14" t="n">
        <v>-601129</v>
      </c>
      <c r="L19" s="13">
        <f>IF(H19="","",K19-H19)</f>
        <v/>
      </c>
    </row>
    <row r="20">
      <c r="A20" s="2" t="inlineStr">
        <is>
          <t>2024Q2</t>
        </is>
      </c>
      <c r="B20" s="11" t="n">
        <v>1377</v>
      </c>
      <c r="C20" s="12">
        <f>IF(B20="","",B20-B19)</f>
        <v/>
      </c>
      <c r="D20" s="11" t="n">
        <v>1371</v>
      </c>
      <c r="E20" s="12">
        <f>IF(D20="","",D20-B19)</f>
        <v/>
      </c>
      <c r="F20" s="13">
        <f>IF(C20="","",($B$3*C20+$D$3*E20)*1000)</f>
        <v/>
      </c>
      <c r="G20" s="13">
        <f>IF(C20="","",(-$F$3*C20+$H$3*E20)*1000)</f>
        <v/>
      </c>
      <c r="H20" s="14">
        <f>IF(F20="","",F20+G20)</f>
        <v/>
      </c>
      <c r="I20" s="13" t="n">
        <v>94974</v>
      </c>
      <c r="J20" s="13" t="n">
        <v>-609703</v>
      </c>
      <c r="K20" s="14" t="n">
        <v>-514729</v>
      </c>
      <c r="L20" s="13">
        <f>IF(H20="","",K20-H20)</f>
        <v/>
      </c>
    </row>
    <row r="21">
      <c r="A21" s="2" t="inlineStr">
        <is>
          <t>2024Q3</t>
        </is>
      </c>
      <c r="B21" s="11" t="n">
        <v>1308</v>
      </c>
      <c r="C21" s="12">
        <f>IF(B21="","",B21-B20)</f>
        <v/>
      </c>
      <c r="D21" s="11" t="n">
        <v>1359</v>
      </c>
      <c r="E21" s="12">
        <f>IF(D21="","",D21-B20)</f>
        <v/>
      </c>
      <c r="F21" s="13">
        <f>IF(C21="","",($B$3*C21+$D$3*E21)*1000)</f>
        <v/>
      </c>
      <c r="G21" s="13">
        <f>IF(C21="","",(-$F$3*C21+$H$3*E21)*1000)</f>
        <v/>
      </c>
      <c r="H21" s="14">
        <f>IF(F21="","",F21+G21)</f>
        <v/>
      </c>
      <c r="I21" s="13" t="n">
        <v>-165353</v>
      </c>
      <c r="J21" s="13" t="n">
        <v>654855</v>
      </c>
      <c r="K21" s="14" t="n">
        <v>489502</v>
      </c>
      <c r="L21" s="13">
        <f>IF(H21="","",K21-H21)</f>
        <v/>
      </c>
    </row>
    <row r="22">
      <c r="A22" s="2" t="inlineStr">
        <is>
          <t>2024Q4</t>
        </is>
      </c>
      <c r="B22" s="11" t="n">
        <v>1472</v>
      </c>
      <c r="C22" s="12">
        <f>IF(B22="","",B22-B21)</f>
        <v/>
      </c>
      <c r="D22" s="11" t="n">
        <v>1398</v>
      </c>
      <c r="E22" s="12">
        <f>IF(D22="","",D22-B21)</f>
        <v/>
      </c>
      <c r="F22" s="13">
        <f>IF(C22="","",($B$3*C22+$D$3*E22)*1000)</f>
        <v/>
      </c>
      <c r="G22" s="13">
        <f>IF(C22="","",(-$F$3*C22+$H$3*E22)*1000)</f>
        <v/>
      </c>
      <c r="H22" s="14">
        <f>IF(F22="","",F22+G22)</f>
        <v/>
      </c>
      <c r="I22" s="13" t="n">
        <v>365795</v>
      </c>
      <c r="J22" s="13" t="n">
        <v>-1923941</v>
      </c>
      <c r="K22" s="14" t="n">
        <v>-1558146</v>
      </c>
      <c r="L22" s="13">
        <f>IF(H22="","",K22-H22)</f>
        <v/>
      </c>
    </row>
    <row r="23">
      <c r="A23" s="2" t="inlineStr">
        <is>
          <t>2025Q1</t>
        </is>
      </c>
      <c r="B23" s="15" t="n"/>
      <c r="C23" s="12">
        <f>IF(B23="","",B23-B22)</f>
        <v/>
      </c>
      <c r="D23" s="15" t="n"/>
      <c r="E23" s="12">
        <f>IF(D23="","",D23-B22)</f>
        <v/>
      </c>
      <c r="F23" s="13">
        <f>IF(C23="","",($B$3*C23+$D$3*E23)*1000)</f>
        <v/>
      </c>
      <c r="G23" s="13">
        <f>IF(C23="","",(-$F$3*C23+$H$3*E23)*1000)</f>
        <v/>
      </c>
      <c r="H23" s="14">
        <f>IF(F23="","",F23+G23)</f>
        <v/>
      </c>
      <c r="I23" s="13" t="n">
        <v>-31848</v>
      </c>
      <c r="J23" s="13" t="n">
        <v>-114661</v>
      </c>
      <c r="K23" s="14" t="n">
        <v>-146509</v>
      </c>
      <c r="L23" s="13">
        <f>IF(H23="","",K23-H23)</f>
        <v/>
      </c>
    </row>
    <row r="24">
      <c r="A24" s="2" t="inlineStr">
        <is>
          <t>2025Q2</t>
        </is>
      </c>
      <c r="B24" s="15" t="n"/>
      <c r="C24" s="12">
        <f>IF(B24="","",B24-B23)</f>
        <v/>
      </c>
      <c r="D24" s="15" t="n"/>
      <c r="E24" s="12">
        <f>IF(D24="","",D24-B23)</f>
        <v/>
      </c>
      <c r="F24" s="13">
        <f>IF(C24="","",($B$3*C24+$D$3*E24)*1000)</f>
        <v/>
      </c>
      <c r="G24" s="13">
        <f>IF(C24="","",(-$F$3*C24+$H$3*E24)*1000)</f>
        <v/>
      </c>
      <c r="H24" s="14">
        <f>IF(F24="","",F24+G24)</f>
        <v/>
      </c>
      <c r="I24" s="13" t="n">
        <v>-308114</v>
      </c>
      <c r="J24" s="13" t="n">
        <v>1372809</v>
      </c>
      <c r="K24" s="14" t="n">
        <v>1064695</v>
      </c>
      <c r="L24" s="13">
        <f>IF(H24="","",K24-H24)</f>
        <v/>
      </c>
    </row>
    <row r="25">
      <c r="A25" s="2" t="inlineStr">
        <is>
          <t>2025Q3</t>
        </is>
      </c>
      <c r="B25" s="15" t="n"/>
      <c r="C25" s="12">
        <f>IF(B25="","",B25-B24)</f>
        <v/>
      </c>
      <c r="D25" s="15" t="n"/>
      <c r="E25" s="12">
        <f>IF(D25="","",D25-B24)</f>
        <v/>
      </c>
      <c r="F25" s="13">
        <f>IF(C25="","",($B$3*C25+$D$3*E25)*1000)</f>
        <v/>
      </c>
      <c r="G25" s="13">
        <f>IF(C25="","",(-$F$3*C25+$H$3*E25)*1000)</f>
        <v/>
      </c>
      <c r="H25" s="14">
        <f>IF(F25="","",F25+G25)</f>
        <v/>
      </c>
      <c r="I25" s="13" t="n">
        <v>107209</v>
      </c>
      <c r="J25" s="13" t="n">
        <v>-769347</v>
      </c>
      <c r="K25" s="14" t="n">
        <v>-662138</v>
      </c>
      <c r="L25" s="13">
        <f>IF(H25="","",K25-H25)</f>
        <v/>
      </c>
    </row>
    <row r="26">
      <c r="A26" s="2" t="inlineStr">
        <is>
          <t>2025Q4</t>
        </is>
      </c>
      <c r="B26" s="15" t="n"/>
      <c r="C26" s="12">
        <f>IF(B26="","",B26-B25)</f>
        <v/>
      </c>
      <c r="D26" s="15" t="n"/>
      <c r="E26" s="12">
        <f>IF(D26="","",D26-B25)</f>
        <v/>
      </c>
      <c r="F26" s="13">
        <f>IF(C26="","",($B$3*C26+$D$3*E26)*1000)</f>
        <v/>
      </c>
      <c r="G26" s="13">
        <f>IF(C26="","",(-$F$3*C26+$H$3*E26)*1000)</f>
        <v/>
      </c>
      <c r="H26" s="14">
        <f>IF(F26="","",F26+G26)</f>
        <v/>
      </c>
      <c r="I26" s="13" t="n">
        <v>31918</v>
      </c>
      <c r="J26" s="13" t="n">
        <v>-516398</v>
      </c>
      <c r="K26" s="14" t="n">
        <v>-484480</v>
      </c>
      <c r="L26" s="13">
        <f>IF(H26="","",K26-H26)</f>
        <v/>
      </c>
    </row>
    <row r="27">
      <c r="A27" s="2" t="inlineStr">
        <is>
          <t>2026Q1</t>
        </is>
      </c>
      <c r="B27" s="15" t="n"/>
      <c r="C27" s="12">
        <f>IF(B27="","",B27-B26)</f>
        <v/>
      </c>
      <c r="D27" s="15" t="n"/>
      <c r="E27" s="12">
        <f>IF(D27="","",D27-B26)</f>
        <v/>
      </c>
      <c r="F27" s="13">
        <f>IF(C27="","",($B$3*C27+$D$3*E27)*1000)</f>
        <v/>
      </c>
      <c r="G27" s="13">
        <f>IF(C27="","",(-$F$3*C27+$H$3*E27)*1000)</f>
        <v/>
      </c>
      <c r="H27" s="14">
        <f>IF(F27="","",F27+G27)</f>
        <v/>
      </c>
      <c r="I27" s="13" t="n">
        <v>289990</v>
      </c>
      <c r="J27" s="13" t="n">
        <v>-1325400</v>
      </c>
      <c r="K27" s="14" t="n">
        <v>-1035410</v>
      </c>
      <c r="L27" s="13">
        <f>IF(H27="","",K27-H27)</f>
        <v/>
      </c>
    </row>
    <row r="28">
      <c r="A28" s="2" t="inlineStr">
        <is>
          <t>2026Q2</t>
        </is>
      </c>
      <c r="B28" s="15" t="n"/>
      <c r="C28" s="12">
        <f>IF(B28="","",B28-B27)</f>
        <v/>
      </c>
      <c r="D28" s="15" t="n"/>
      <c r="E28" s="12">
        <f>IF(D28="","",D28-B27)</f>
        <v/>
      </c>
      <c r="F28" s="13">
        <f>IF(C28="","",($B$3*C28+$D$3*E28)*1000)</f>
        <v/>
      </c>
      <c r="G28" s="13">
        <f>IF(C28="","",(-$F$3*C28+$H$3*E28)*1000)</f>
        <v/>
      </c>
      <c r="H28" s="14">
        <f>IF(F28="","",F28+G28)</f>
        <v/>
      </c>
      <c r="I28" s="13" t="n">
        <v>115103</v>
      </c>
      <c r="J28" s="13" t="n">
        <v>-556760</v>
      </c>
      <c r="K28" s="14" t="n">
        <v>-441657</v>
      </c>
      <c r="L28" s="13">
        <f>IF(H28="","",K28-H28)</f>
        <v/>
      </c>
    </row>
    <row r="29">
      <c r="A29" s="2" t="inlineStr">
        <is>
          <t>2026Q3</t>
        </is>
      </c>
      <c r="B29" s="15" t="n"/>
      <c r="C29" s="12">
        <f>IF(B29="","",B29-B28)</f>
        <v/>
      </c>
      <c r="D29" s="15" t="n"/>
      <c r="E29" s="12">
        <f>IF(D29="","",D29-B28)</f>
        <v/>
      </c>
      <c r="F29" s="13">
        <f>IF(C29="","",($B$3*C29+$D$3*E29)*1000)</f>
        <v/>
      </c>
      <c r="G29" s="13">
        <f>IF(C29="","",(-$F$3*C29+$H$3*E29)*1000)</f>
        <v/>
      </c>
      <c r="H29" s="14">
        <f>IF(F29="","",F29+G29)</f>
        <v/>
      </c>
      <c r="I29" s="13" t="n"/>
      <c r="J29" s="13" t="n"/>
      <c r="K29" s="14" t="n"/>
      <c r="L29" s="13" t="n"/>
    </row>
    <row r="30">
      <c r="A30" s="2" t="inlineStr">
        <is>
          <t>2026Q4</t>
        </is>
      </c>
      <c r="B30" s="15" t="n"/>
      <c r="C30" s="12">
        <f>IF(B30="","",B30-B29)</f>
        <v/>
      </c>
      <c r="D30" s="15" t="n"/>
      <c r="E30" s="12">
        <f>IF(D30="","",D30-B29)</f>
        <v/>
      </c>
      <c r="F30" s="13">
        <f>IF(C30="","",($B$3*C30+$D$3*E30)*1000)</f>
        <v/>
      </c>
      <c r="G30" s="13">
        <f>IF(C30="","",(-$F$3*C30+$H$3*E30)*1000)</f>
        <v/>
      </c>
      <c r="H30" s="14">
        <f>IF(F30="","",F30+G30)</f>
        <v/>
      </c>
      <c r="I30" s="13" t="n"/>
      <c r="J30" s="13" t="n"/>
      <c r="K30" s="14" t="n"/>
      <c r="L30" s="13" t="n"/>
    </row>
    <row r="31">
      <c r="A31" s="2" t="inlineStr">
        <is>
          <t>2027Q1</t>
        </is>
      </c>
      <c r="B31" s="15" t="n"/>
      <c r="C31" s="12">
        <f>IF(B31="","",B31-B30)</f>
        <v/>
      </c>
      <c r="D31" s="15" t="n"/>
      <c r="E31" s="12">
        <f>IF(D31="","",D31-B30)</f>
        <v/>
      </c>
      <c r="F31" s="13">
        <f>IF(C31="","",($B$3*C31+$D$3*E31)*1000)</f>
        <v/>
      </c>
      <c r="G31" s="13">
        <f>IF(C31="","",(-$F$3*C31+$H$3*E31)*1000)</f>
        <v/>
      </c>
      <c r="H31" s="14">
        <f>IF(F31="","",F31+G31)</f>
        <v/>
      </c>
      <c r="I31" s="13" t="n"/>
      <c r="J31" s="13" t="n"/>
      <c r="K31" s="14" t="n"/>
      <c r="L31" s="13" t="n"/>
    </row>
    <row r="32">
      <c r="A32" s="2" t="inlineStr">
        <is>
          <t>2027Q2</t>
        </is>
      </c>
      <c r="B32" s="15" t="n"/>
      <c r="C32" s="12">
        <f>IF(B32="","",B32-B31)</f>
        <v/>
      </c>
      <c r="D32" s="15" t="n"/>
      <c r="E32" s="12">
        <f>IF(D32="","",D32-B31)</f>
        <v/>
      </c>
      <c r="F32" s="13">
        <f>IF(C32="","",($B$3*C32+$D$3*E32)*1000)</f>
        <v/>
      </c>
      <c r="G32" s="13">
        <f>IF(C32="","",(-$F$3*C32+$H$3*E32)*1000)</f>
        <v/>
      </c>
      <c r="H32" s="14">
        <f>IF(F32="","",F32+G32)</f>
        <v/>
      </c>
      <c r="I32" s="13" t="n"/>
      <c r="J32" s="13" t="n"/>
      <c r="K32" s="14" t="n"/>
      <c r="L32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6" t="inlineStr">
        <is>
          <t>HD한국조선해양 — 외환·파생손익 요인 분해</t>
        </is>
      </c>
    </row>
    <row r="2">
      <c r="A2" s="7" t="inlineStr">
        <is>
          <t>(단위: 백만원 / 노란 칸 = 입력값 / 추정 = 공식·사용법 시트의 우산 모델 수식 / 실제 = DART 주석 추출값)</t>
        </is>
      </c>
    </row>
    <row r="3">
      <c r="A3" s="3" t="inlineStr">
        <is>
          <t>NFA($B)</t>
        </is>
      </c>
      <c r="B3" s="8" t="n">
        <v>3.17</v>
      </c>
      <c r="C3" s="3" t="inlineStr">
        <is>
          <t>F_fx($B)</t>
        </is>
      </c>
      <c r="D3" s="8" t="n">
        <v>1.54</v>
      </c>
      <c r="E3" s="3" t="inlineStr">
        <is>
          <t>H($B)</t>
        </is>
      </c>
      <c r="F3" s="8" t="n">
        <v>15.87</v>
      </c>
      <c r="G3" s="3" t="inlineStr">
        <is>
          <t>F_dv($B)</t>
        </is>
      </c>
      <c r="H3" s="8" t="n">
        <v>-3.4</v>
      </c>
    </row>
    <row r="5">
      <c r="A5" s="9" t="inlineStr">
        <is>
          <t>분기</t>
        </is>
      </c>
      <c r="B5" s="9" t="inlineStr">
        <is>
          <t>분기말 환율</t>
        </is>
      </c>
      <c r="C5" s="9" t="inlineStr">
        <is>
          <t>Δe (기말-전기말)</t>
        </is>
      </c>
      <c r="D5" s="9" t="inlineStr">
        <is>
          <t>분기평균 환율</t>
        </is>
      </c>
      <c r="E5" s="9" t="inlineStr">
        <is>
          <t>m (평균-전기말)</t>
        </is>
      </c>
      <c r="F5" s="9" t="inlineStr">
        <is>
          <t>추정 순외환</t>
        </is>
      </c>
      <c r="G5" s="9" t="inlineStr">
        <is>
          <t>추정 순파생</t>
        </is>
      </c>
      <c r="H5" s="9" t="inlineStr">
        <is>
          <t>추정 합산</t>
        </is>
      </c>
      <c r="I5" s="9" t="inlineStr">
        <is>
          <t>실제 순외환</t>
        </is>
      </c>
      <c r="J5" s="9" t="inlineStr">
        <is>
          <t>실제 순파생</t>
        </is>
      </c>
      <c r="K5" s="9" t="inlineStr">
        <is>
          <t>실제 합산</t>
        </is>
      </c>
      <c r="L5" s="9" t="inlineStr">
        <is>
          <t>오차 (실제-추정)</t>
        </is>
      </c>
    </row>
    <row r="6">
      <c r="A6" s="2" t="inlineStr">
        <is>
          <t>2016Q3</t>
        </is>
      </c>
      <c r="B6" s="10" t="n">
        <v>1101</v>
      </c>
    </row>
    <row r="7">
      <c r="A7" s="2" t="inlineStr">
        <is>
          <t>2016Q4</t>
        </is>
      </c>
      <c r="B7" s="11" t="n">
        <v>1208</v>
      </c>
      <c r="C7" s="12">
        <f>IF(B7="","",B7-B6)</f>
        <v/>
      </c>
      <c r="D7" s="11" t="n">
        <v>1157</v>
      </c>
      <c r="E7" s="12">
        <f>IF(D7="","",D7-B6)</f>
        <v/>
      </c>
      <c r="F7" s="13" t="n"/>
      <c r="G7" s="13" t="n"/>
      <c r="H7" s="14" t="n"/>
      <c r="I7" s="13" t="n">
        <v>-228716</v>
      </c>
      <c r="J7" s="13" t="n">
        <v>-732411</v>
      </c>
      <c r="K7" s="14" t="n">
        <v>-961127</v>
      </c>
      <c r="L7" s="13" t="n"/>
    </row>
    <row r="8">
      <c r="A8" s="2" t="inlineStr">
        <is>
          <t>2017Q1</t>
        </is>
      </c>
      <c r="B8" s="11" t="n">
        <v>1118</v>
      </c>
      <c r="C8" s="12">
        <f>IF(B8="","",B8-B7)</f>
        <v/>
      </c>
      <c r="D8" s="11" t="n">
        <v>1153</v>
      </c>
      <c r="E8" s="12">
        <f>IF(D8="","",D8-B7)</f>
        <v/>
      </c>
      <c r="F8" s="13" t="n"/>
      <c r="G8" s="13" t="n"/>
      <c r="H8" s="14" t="n"/>
      <c r="I8" s="13" t="n">
        <v>-149730</v>
      </c>
      <c r="J8" s="13" t="n">
        <v>555666</v>
      </c>
      <c r="K8" s="14" t="n">
        <v>405936</v>
      </c>
      <c r="L8" s="13" t="n"/>
    </row>
    <row r="9">
      <c r="A9" s="2" t="inlineStr">
        <is>
          <t>2017Q2</t>
        </is>
      </c>
      <c r="B9" s="11" t="n">
        <v>1144</v>
      </c>
      <c r="C9" s="12">
        <f>IF(B9="","",B9-B8)</f>
        <v/>
      </c>
      <c r="D9" s="11" t="n">
        <v>1130</v>
      </c>
      <c r="E9" s="12">
        <f>IF(D9="","",D9-B8)</f>
        <v/>
      </c>
      <c r="F9" s="13" t="n"/>
      <c r="G9" s="13" t="n"/>
      <c r="H9" s="14" t="n"/>
      <c r="I9" s="13" t="n">
        <v>-17081</v>
      </c>
      <c r="J9" s="13" t="n">
        <v>-117338</v>
      </c>
      <c r="K9" s="14" t="n">
        <v>-134419</v>
      </c>
      <c r="L9" s="13" t="n"/>
    </row>
    <row r="10">
      <c r="A10" s="2" t="inlineStr">
        <is>
          <t>2017Q3</t>
        </is>
      </c>
      <c r="B10" s="11" t="n">
        <v>1146</v>
      </c>
      <c r="C10" s="12">
        <f>IF(B10="","",B10-B9)</f>
        <v/>
      </c>
      <c r="D10" s="11" t="n">
        <v>1132</v>
      </c>
      <c r="E10" s="12">
        <f>IF(D10="","",D10-B9)</f>
        <v/>
      </c>
      <c r="F10" s="13" t="n"/>
      <c r="G10" s="13" t="n"/>
      <c r="H10" s="14" t="n"/>
      <c r="I10" s="13" t="n">
        <v>-5334</v>
      </c>
      <c r="J10" s="13" t="n">
        <v>-26550</v>
      </c>
      <c r="K10" s="14" t="n">
        <v>-31884</v>
      </c>
      <c r="L10" s="13" t="n"/>
    </row>
    <row r="11">
      <c r="A11" s="2" t="inlineStr">
        <is>
          <t>2017Q4</t>
        </is>
      </c>
      <c r="B11" s="11" t="n">
        <v>1071</v>
      </c>
      <c r="C11" s="12">
        <f>IF(B11="","",B11-B10)</f>
        <v/>
      </c>
      <c r="D11" s="11" t="n">
        <v>1092</v>
      </c>
      <c r="E11" s="12">
        <f>IF(D11="","",D11-B10)</f>
        <v/>
      </c>
      <c r="F11" s="13" t="n"/>
      <c r="G11" s="13" t="n"/>
      <c r="H11" s="14" t="n"/>
      <c r="I11" s="13" t="n">
        <v>6389</v>
      </c>
      <c r="J11" s="13" t="n">
        <v>225971</v>
      </c>
      <c r="K11" s="14" t="n">
        <v>232360</v>
      </c>
      <c r="L11" s="13" t="n"/>
    </row>
    <row r="12">
      <c r="A12" s="2" t="inlineStr">
        <is>
          <t>2018Q1</t>
        </is>
      </c>
      <c r="B12" s="11" t="n">
        <v>1064</v>
      </c>
      <c r="C12" s="12">
        <f>IF(B12="","",B12-B11)</f>
        <v/>
      </c>
      <c r="D12" s="11" t="n">
        <v>1072</v>
      </c>
      <c r="E12" s="12">
        <f>IF(D12="","",D12-B11)</f>
        <v/>
      </c>
      <c r="F12" s="13" t="n"/>
      <c r="G12" s="13" t="n"/>
      <c r="H12" s="14" t="n"/>
      <c r="I12" s="13" t="n">
        <v>-7516</v>
      </c>
      <c r="J12" s="13" t="n">
        <v>26785</v>
      </c>
      <c r="K12" s="14" t="n">
        <v>19269</v>
      </c>
      <c r="L12" s="13" t="n"/>
    </row>
    <row r="13">
      <c r="A13" s="2" t="inlineStr">
        <is>
          <t>2018Q2</t>
        </is>
      </c>
      <c r="B13" s="11" t="n">
        <v>1115</v>
      </c>
      <c r="C13" s="12">
        <f>IF(B13="","",B13-B12)</f>
        <v/>
      </c>
      <c r="D13" s="11" t="n">
        <v>1079</v>
      </c>
      <c r="E13" s="12">
        <f>IF(D13="","",D13-B12)</f>
        <v/>
      </c>
      <c r="F13" s="13" t="n"/>
      <c r="G13" s="13" t="n"/>
      <c r="H13" s="14" t="n"/>
      <c r="I13" s="13" t="n">
        <v>20712</v>
      </c>
      <c r="J13" s="13" t="n">
        <v>-241983</v>
      </c>
      <c r="K13" s="14" t="n">
        <v>-221271</v>
      </c>
      <c r="L13" s="13" t="n"/>
    </row>
    <row r="14">
      <c r="A14" s="2" t="inlineStr">
        <is>
          <t>2018Q3</t>
        </is>
      </c>
      <c r="B14" s="11" t="n">
        <v>1109</v>
      </c>
      <c r="C14" s="12">
        <f>IF(B14="","",B14-B13)</f>
        <v/>
      </c>
      <c r="D14" s="11" t="n">
        <v>1121</v>
      </c>
      <c r="E14" s="12">
        <f>IF(D14="","",D14-B13)</f>
        <v/>
      </c>
      <c r="F14" s="13" t="n"/>
      <c r="G14" s="13" t="n"/>
      <c r="H14" s="14" t="n"/>
      <c r="I14" s="13" t="n">
        <v>-7439</v>
      </c>
      <c r="J14" s="13" t="n">
        <v>27483</v>
      </c>
      <c r="K14" s="14" t="n">
        <v>20044</v>
      </c>
      <c r="L14" s="13" t="n"/>
    </row>
    <row r="15">
      <c r="A15" s="2" t="inlineStr">
        <is>
          <t>2018Q4</t>
        </is>
      </c>
      <c r="B15" s="11" t="n">
        <v>1116</v>
      </c>
      <c r="C15" s="12">
        <f>IF(B15="","",B15-B14)</f>
        <v/>
      </c>
      <c r="D15" s="11" t="n">
        <v>1128</v>
      </c>
      <c r="E15" s="12">
        <f>IF(D15="","",D15-B14)</f>
        <v/>
      </c>
      <c r="F15" s="13" t="n"/>
      <c r="G15" s="13" t="n"/>
      <c r="H15" s="14" t="n"/>
      <c r="I15" s="13" t="n">
        <v>17959</v>
      </c>
      <c r="J15" s="13" t="n">
        <v>-50508</v>
      </c>
      <c r="K15" s="14" t="n">
        <v>-32549</v>
      </c>
      <c r="L15" s="13" t="n"/>
    </row>
    <row r="16">
      <c r="A16" s="2" t="inlineStr">
        <is>
          <t>2019Q1</t>
        </is>
      </c>
      <c r="B16" s="11" t="n">
        <v>1135</v>
      </c>
      <c r="C16" s="12">
        <f>IF(B16="","",B16-B15)</f>
        <v/>
      </c>
      <c r="D16" s="11" t="n">
        <v>1125</v>
      </c>
      <c r="E16" s="12">
        <f>IF(D16="","",D16-B15)</f>
        <v/>
      </c>
      <c r="F16" s="13" t="n"/>
      <c r="G16" s="13" t="n"/>
      <c r="H16" s="14" t="n"/>
      <c r="I16" s="13" t="n">
        <v>14547</v>
      </c>
      <c r="J16" s="13" t="n">
        <v>-80991</v>
      </c>
      <c r="K16" s="14" t="n">
        <v>-66444</v>
      </c>
      <c r="L16" s="13" t="n"/>
    </row>
    <row r="17">
      <c r="A17" s="2" t="inlineStr">
        <is>
          <t>2019Q2</t>
        </is>
      </c>
      <c r="B17" s="11" t="n">
        <v>1155</v>
      </c>
      <c r="C17" s="12">
        <f>IF(B17="","",B17-B16)</f>
        <v/>
      </c>
      <c r="D17" s="11" t="n">
        <v>1166</v>
      </c>
      <c r="E17" s="12">
        <f>IF(D17="","",D17-B16)</f>
        <v/>
      </c>
      <c r="F17" s="13" t="n"/>
      <c r="G17" s="13" t="n"/>
      <c r="H17" s="14" t="n"/>
      <c r="I17" s="13" t="n">
        <v>13907</v>
      </c>
      <c r="J17" s="13" t="n">
        <v>-192248</v>
      </c>
      <c r="K17" s="14" t="n">
        <v>-178341</v>
      </c>
      <c r="L17" s="13" t="n"/>
    </row>
    <row r="18">
      <c r="A18" s="2" t="inlineStr">
        <is>
          <t>2019Q3</t>
        </is>
      </c>
      <c r="B18" s="11" t="n">
        <v>1196</v>
      </c>
      <c r="C18" s="12">
        <f>IF(B18="","",B18-B17)</f>
        <v/>
      </c>
      <c r="D18" s="11" t="n">
        <v>1194</v>
      </c>
      <c r="E18" s="12">
        <f>IF(D18="","",D18-B17)</f>
        <v/>
      </c>
      <c r="F18" s="13" t="n"/>
      <c r="G18" s="13" t="n"/>
      <c r="H18" s="14" t="n"/>
      <c r="I18" s="13" t="n">
        <v>30372</v>
      </c>
      <c r="J18" s="13" t="n">
        <v>-297432</v>
      </c>
      <c r="K18" s="14" t="n">
        <v>-267060</v>
      </c>
      <c r="L18" s="13" t="n"/>
    </row>
    <row r="19">
      <c r="A19" s="2" t="inlineStr">
        <is>
          <t>2019Q4</t>
        </is>
      </c>
      <c r="B19" s="11" t="n">
        <v>1156</v>
      </c>
      <c r="C19" s="12">
        <f>IF(B19="","",B19-B18)</f>
        <v/>
      </c>
      <c r="D19" s="11" t="n">
        <v>1176</v>
      </c>
      <c r="E19" s="12">
        <f>IF(D19="","",D19-B18)</f>
        <v/>
      </c>
      <c r="F19" s="13" t="n"/>
      <c r="G19" s="13" t="n"/>
      <c r="H19" s="14" t="n"/>
      <c r="I19" s="13" t="n">
        <v>-3515</v>
      </c>
      <c r="J19" s="13" t="n">
        <v>294819</v>
      </c>
      <c r="K19" s="14" t="n">
        <v>291304</v>
      </c>
      <c r="L19" s="13" t="n"/>
    </row>
    <row r="20">
      <c r="A20" s="2" t="inlineStr">
        <is>
          <t>2020Q1</t>
        </is>
      </c>
      <c r="B20" s="11" t="n">
        <v>1217</v>
      </c>
      <c r="C20" s="12">
        <f>IF(B20="","",B20-B19)</f>
        <v/>
      </c>
      <c r="D20" s="11" t="n">
        <v>1194</v>
      </c>
      <c r="E20" s="12">
        <f>IF(D20="","",D20-B19)</f>
        <v/>
      </c>
      <c r="F20" s="13" t="n"/>
      <c r="G20" s="13" t="n"/>
      <c r="H20" s="14" t="n"/>
      <c r="I20" s="13" t="n">
        <v>145637</v>
      </c>
      <c r="J20" s="13" t="n">
        <v>-482150</v>
      </c>
      <c r="K20" s="14" t="n">
        <v>-336513</v>
      </c>
      <c r="L20" s="13" t="n"/>
    </row>
    <row r="21">
      <c r="A21" s="2" t="inlineStr">
        <is>
          <t>2020Q2</t>
        </is>
      </c>
      <c r="B21" s="11" t="n">
        <v>1203</v>
      </c>
      <c r="C21" s="12">
        <f>IF(B21="","",B21-B20)</f>
        <v/>
      </c>
      <c r="D21" s="11" t="n">
        <v>1221</v>
      </c>
      <c r="E21" s="12">
        <f>IF(D21="","",D21-B20)</f>
        <v/>
      </c>
      <c r="F21" s="13" t="n"/>
      <c r="G21" s="13" t="n"/>
      <c r="H21" s="14" t="n"/>
      <c r="I21" s="13" t="n">
        <v>-15808</v>
      </c>
      <c r="J21" s="13" t="n">
        <v>75033</v>
      </c>
      <c r="K21" s="14" t="n">
        <v>59225</v>
      </c>
      <c r="L21" s="13" t="n"/>
    </row>
    <row r="22">
      <c r="A22" s="2" t="inlineStr">
        <is>
          <t>2020Q3</t>
        </is>
      </c>
      <c r="B22" s="11" t="n">
        <v>1170</v>
      </c>
      <c r="C22" s="12">
        <f>IF(B22="","",B22-B21)</f>
        <v/>
      </c>
      <c r="D22" s="11" t="n">
        <v>1188</v>
      </c>
      <c r="E22" s="12">
        <f>IF(D22="","",D22-B21)</f>
        <v/>
      </c>
      <c r="F22" s="13" t="n"/>
      <c r="G22" s="13" t="n"/>
      <c r="H22" s="14" t="n"/>
      <c r="I22" s="13" t="n">
        <v>-23097</v>
      </c>
      <c r="J22" s="13" t="n">
        <v>130253</v>
      </c>
      <c r="K22" s="14" t="n">
        <v>107156</v>
      </c>
      <c r="L22" s="13" t="n"/>
    </row>
    <row r="23">
      <c r="A23" s="2" t="inlineStr">
        <is>
          <t>2020Q4</t>
        </is>
      </c>
      <c r="B23" s="11" t="n">
        <v>1086</v>
      </c>
      <c r="C23" s="12">
        <f>IF(B23="","",B23-B22)</f>
        <v/>
      </c>
      <c r="D23" s="11" t="n">
        <v>1118</v>
      </c>
      <c r="E23" s="12">
        <f>IF(D23="","",D23-B22)</f>
        <v/>
      </c>
      <c r="F23" s="13" t="n"/>
      <c r="G23" s="13" t="n"/>
      <c r="H23" s="14" t="n"/>
      <c r="I23" s="13" t="n">
        <v>-259208</v>
      </c>
      <c r="J23" s="13" t="n">
        <v>545524</v>
      </c>
      <c r="K23" s="14" t="n">
        <v>286316</v>
      </c>
      <c r="L23" s="13" t="n"/>
    </row>
    <row r="24">
      <c r="A24" s="2" t="inlineStr">
        <is>
          <t>2021Q1</t>
        </is>
      </c>
      <c r="B24" s="11" t="n">
        <v>1132</v>
      </c>
      <c r="C24" s="12">
        <f>IF(B24="","",B24-B23)</f>
        <v/>
      </c>
      <c r="D24" s="11" t="n">
        <v>1114</v>
      </c>
      <c r="E24" s="12">
        <f>IF(D24="","",D24-B23)</f>
        <v/>
      </c>
      <c r="F24" s="13" t="n"/>
      <c r="G24" s="13" t="n"/>
      <c r="H24" s="14" t="n"/>
      <c r="I24" s="13" t="n">
        <v>150616</v>
      </c>
      <c r="J24" s="13" t="n">
        <v>-284828</v>
      </c>
      <c r="K24" s="14" t="n">
        <v>-134212</v>
      </c>
      <c r="L24" s="13" t="n"/>
    </row>
    <row r="25">
      <c r="A25" s="2" t="inlineStr">
        <is>
          <t>2021Q2</t>
        </is>
      </c>
      <c r="B25" s="11" t="n">
        <v>1126</v>
      </c>
      <c r="C25" s="12">
        <f>IF(B25="","",B25-B24)</f>
        <v/>
      </c>
      <c r="D25" s="11" t="n">
        <v>1121</v>
      </c>
      <c r="E25" s="12">
        <f>IF(D25="","",D25-B24)</f>
        <v/>
      </c>
      <c r="F25" s="13" t="n"/>
      <c r="G25" s="13" t="n"/>
      <c r="H25" s="14" t="n"/>
      <c r="I25" s="13" t="n">
        <v>-20900</v>
      </c>
      <c r="J25" s="13" t="n">
        <v>-7698</v>
      </c>
      <c r="K25" s="14" t="n">
        <v>-28598</v>
      </c>
      <c r="L25" s="13" t="n"/>
    </row>
    <row r="26">
      <c r="A26" s="2" t="inlineStr">
        <is>
          <t>2021Q3</t>
        </is>
      </c>
      <c r="B26" s="11" t="n">
        <v>1184</v>
      </c>
      <c r="C26" s="12">
        <f>IF(B26="","",B26-B25)</f>
        <v/>
      </c>
      <c r="D26" s="11" t="n">
        <v>1157</v>
      </c>
      <c r="E26" s="12">
        <f>IF(D26="","",D26-B25)</f>
        <v/>
      </c>
      <c r="F26" s="13" t="n"/>
      <c r="G26" s="13" t="n"/>
      <c r="H26" s="14" t="n"/>
      <c r="I26" s="13" t="n">
        <v>111484</v>
      </c>
      <c r="J26" s="13" t="n">
        <v>-543657</v>
      </c>
      <c r="K26" s="14" t="n">
        <v>-432173</v>
      </c>
      <c r="L26" s="13" t="n"/>
    </row>
    <row r="27">
      <c r="A27" s="2" t="inlineStr">
        <is>
          <t>2021Q4</t>
        </is>
      </c>
      <c r="B27" s="11" t="n">
        <v>1189</v>
      </c>
      <c r="C27" s="12">
        <f>IF(B27="","",B27-B26)</f>
        <v/>
      </c>
      <c r="D27" s="11" t="n">
        <v>1183</v>
      </c>
      <c r="E27" s="12">
        <f>IF(D27="","",D27-B26)</f>
        <v/>
      </c>
      <c r="F27" s="13" t="n"/>
      <c r="G27" s="13" t="n"/>
      <c r="H27" s="14" t="n"/>
      <c r="I27" s="13" t="n">
        <v>-9600</v>
      </c>
      <c r="J27" s="13" t="n">
        <v>8209</v>
      </c>
      <c r="K27" s="14" t="n">
        <v>-1391</v>
      </c>
      <c r="L27" s="13" t="n"/>
    </row>
    <row r="28">
      <c r="A28" s="2" t="inlineStr">
        <is>
          <t>2022Q1</t>
        </is>
      </c>
      <c r="B28" s="11" t="n">
        <v>1212</v>
      </c>
      <c r="C28" s="12">
        <f>IF(B28="","",B28-B27)</f>
        <v/>
      </c>
      <c r="D28" s="11" t="n">
        <v>1205</v>
      </c>
      <c r="E28" s="12">
        <f>IF(D28="","",D28-B27)</f>
        <v/>
      </c>
      <c r="F28" s="13">
        <f>IF(C28="","",($B$3*C28+$D$3*E28)*1000)</f>
        <v/>
      </c>
      <c r="G28" s="13">
        <f>IF(C28="","",(-$F$3*C28+$H$3*E28)*1000)</f>
        <v/>
      </c>
      <c r="H28" s="14">
        <f>IF(F28="","",F28+G28)</f>
        <v/>
      </c>
      <c r="I28" s="13" t="n">
        <v>77623</v>
      </c>
      <c r="J28" s="13" t="n">
        <v>-129739</v>
      </c>
      <c r="K28" s="14" t="n">
        <v>-52116</v>
      </c>
      <c r="L28" s="13">
        <f>IF(H28="","",K28-H28)</f>
        <v/>
      </c>
    </row>
    <row r="29">
      <c r="A29" s="2" t="inlineStr">
        <is>
          <t>2022Q2</t>
        </is>
      </c>
      <c r="B29" s="11" t="n">
        <v>1292</v>
      </c>
      <c r="C29" s="12">
        <f>IF(B29="","",B29-B28)</f>
        <v/>
      </c>
      <c r="D29" s="11" t="n">
        <v>1260</v>
      </c>
      <c r="E29" s="12">
        <f>IF(D29="","",D29-B28)</f>
        <v/>
      </c>
      <c r="F29" s="13">
        <f>IF(C29="","",($B$3*C29+$D$3*E29)*1000)</f>
        <v/>
      </c>
      <c r="G29" s="13">
        <f>IF(C29="","",(-$F$3*C29+$H$3*E29)*1000)</f>
        <v/>
      </c>
      <c r="H29" s="14">
        <f>IF(F29="","",F29+G29)</f>
        <v/>
      </c>
      <c r="I29" s="13" t="n">
        <v>251894</v>
      </c>
      <c r="J29" s="13" t="n">
        <v>-1229771</v>
      </c>
      <c r="K29" s="14" t="n">
        <v>-977877</v>
      </c>
      <c r="L29" s="13">
        <f>IF(H29="","",K29-H29)</f>
        <v/>
      </c>
    </row>
    <row r="30">
      <c r="A30" s="2" t="inlineStr">
        <is>
          <t>2022Q3</t>
        </is>
      </c>
      <c r="B30" s="11" t="n">
        <v>1431</v>
      </c>
      <c r="C30" s="12">
        <f>IF(B30="","",B30-B29)</f>
        <v/>
      </c>
      <c r="D30" s="11" t="n">
        <v>1338</v>
      </c>
      <c r="E30" s="12">
        <f>IF(D30="","",D30-B29)</f>
        <v/>
      </c>
      <c r="F30" s="13">
        <f>IF(C30="","",($B$3*C30+$D$3*E30)*1000)</f>
        <v/>
      </c>
      <c r="G30" s="13">
        <f>IF(C30="","",(-$F$3*C30+$H$3*E30)*1000)</f>
        <v/>
      </c>
      <c r="H30" s="14">
        <f>IF(F30="","",F30+G30)</f>
        <v/>
      </c>
      <c r="I30" s="13" t="n">
        <v>441617</v>
      </c>
      <c r="J30" s="13" t="n">
        <v>-2281865</v>
      </c>
      <c r="K30" s="14" t="n">
        <v>-1840248</v>
      </c>
      <c r="L30" s="13">
        <f>IF(H30="","",K30-H30)</f>
        <v/>
      </c>
    </row>
    <row r="31">
      <c r="A31" s="2" t="inlineStr">
        <is>
          <t>2022Q4</t>
        </is>
      </c>
      <c r="B31" s="11" t="n">
        <v>1265</v>
      </c>
      <c r="C31" s="12">
        <f>IF(B31="","",B31-B30)</f>
        <v/>
      </c>
      <c r="D31" s="11" t="n">
        <v>1359</v>
      </c>
      <c r="E31" s="12">
        <f>IF(D31="","",D31-B30)</f>
        <v/>
      </c>
      <c r="F31" s="13">
        <f>IF(C31="","",($B$3*C31+$D$3*E31)*1000)</f>
        <v/>
      </c>
      <c r="G31" s="13">
        <f>IF(C31="","",(-$F$3*C31+$H$3*E31)*1000)</f>
        <v/>
      </c>
      <c r="H31" s="14">
        <f>IF(F31="","",F31+G31)</f>
        <v/>
      </c>
      <c r="I31" s="13" t="n">
        <v>-600194</v>
      </c>
      <c r="J31" s="13" t="n">
        <v>2859310</v>
      </c>
      <c r="K31" s="14" t="n">
        <v>2259116</v>
      </c>
      <c r="L31" s="13">
        <f>IF(H31="","",K31-H31)</f>
        <v/>
      </c>
    </row>
    <row r="32">
      <c r="A32" s="2" t="inlineStr">
        <is>
          <t>2023Q1</t>
        </is>
      </c>
      <c r="B32" s="11" t="n">
        <v>1302</v>
      </c>
      <c r="C32" s="12">
        <f>IF(B32="","",B32-B31)</f>
        <v/>
      </c>
      <c r="D32" s="11" t="n">
        <v>1276</v>
      </c>
      <c r="E32" s="12">
        <f>IF(D32="","",D32-B31)</f>
        <v/>
      </c>
      <c r="F32" s="13">
        <f>IF(C32="","",($B$3*C32+$D$3*E32)*1000)</f>
        <v/>
      </c>
      <c r="G32" s="13">
        <f>IF(C32="","",(-$F$3*C32+$H$3*E32)*1000)</f>
        <v/>
      </c>
      <c r="H32" s="14">
        <f>IF(F32="","",F32+G32)</f>
        <v/>
      </c>
      <c r="I32" s="13" t="n">
        <v>121999</v>
      </c>
      <c r="J32" s="13" t="n">
        <v>-749250</v>
      </c>
      <c r="K32" s="14" t="n">
        <v>-627251</v>
      </c>
      <c r="L32" s="13">
        <f>IF(H32="","",K32-H32)</f>
        <v/>
      </c>
    </row>
    <row r="33">
      <c r="A33" s="2" t="inlineStr">
        <is>
          <t>2023Q2</t>
        </is>
      </c>
      <c r="B33" s="11" t="n">
        <v>1318</v>
      </c>
      <c r="C33" s="12">
        <f>IF(B33="","",B33-B32)</f>
        <v/>
      </c>
      <c r="D33" s="11" t="n">
        <v>1315</v>
      </c>
      <c r="E33" s="12">
        <f>IF(D33="","",D33-B32)</f>
        <v/>
      </c>
      <c r="F33" s="13">
        <f>IF(C33="","",($B$3*C33+$D$3*E33)*1000)</f>
        <v/>
      </c>
      <c r="G33" s="13">
        <f>IF(C33="","",(-$F$3*C33+$H$3*E33)*1000)</f>
        <v/>
      </c>
      <c r="H33" s="14">
        <f>IF(F33="","",F33+G33)</f>
        <v/>
      </c>
      <c r="I33" s="13" t="n">
        <v>40573</v>
      </c>
      <c r="J33" s="13" t="n">
        <v>-118476</v>
      </c>
      <c r="K33" s="14" t="n">
        <v>-77903</v>
      </c>
      <c r="L33" s="13">
        <f>IF(H33="","",K33-H33)</f>
        <v/>
      </c>
    </row>
    <row r="34">
      <c r="A34" s="2" t="inlineStr">
        <is>
          <t>2023Q3</t>
        </is>
      </c>
      <c r="B34" s="11" t="n">
        <v>1349</v>
      </c>
      <c r="C34" s="12">
        <f>IF(B34="","",B34-B33)</f>
        <v/>
      </c>
      <c r="D34" s="11" t="n">
        <v>1311</v>
      </c>
      <c r="E34" s="12">
        <f>IF(D34="","",D34-B33)</f>
        <v/>
      </c>
      <c r="F34" s="13">
        <f>IF(C34="","",($B$3*C34+$D$3*E34)*1000)</f>
        <v/>
      </c>
      <c r="G34" s="13">
        <f>IF(C34="","",(-$F$3*C34+$H$3*E34)*1000)</f>
        <v/>
      </c>
      <c r="H34" s="14">
        <f>IF(F34="","",F34+G34)</f>
        <v/>
      </c>
      <c r="I34" s="13" t="n">
        <v>140403</v>
      </c>
      <c r="J34" s="13" t="n">
        <v>-731900</v>
      </c>
      <c r="K34" s="14" t="n">
        <v>-591497</v>
      </c>
      <c r="L34" s="13">
        <f>IF(H34="","",K34-H34)</f>
        <v/>
      </c>
    </row>
    <row r="35">
      <c r="A35" s="2" t="inlineStr">
        <is>
          <t>2023Q4</t>
        </is>
      </c>
      <c r="B35" s="11" t="n">
        <v>1289</v>
      </c>
      <c r="C35" s="12">
        <f>IF(B35="","",B35-B34)</f>
        <v/>
      </c>
      <c r="D35" s="11" t="n">
        <v>1321</v>
      </c>
      <c r="E35" s="12">
        <f>IF(D35="","",D35-B34)</f>
        <v/>
      </c>
      <c r="F35" s="13">
        <f>IF(C35="","",($B$3*C35+$D$3*E35)*1000)</f>
        <v/>
      </c>
      <c r="G35" s="13">
        <f>IF(C35="","",(-$F$3*C35+$H$3*E35)*1000)</f>
        <v/>
      </c>
      <c r="H35" s="14">
        <f>IF(F35="","",F35+G35)</f>
        <v/>
      </c>
      <c r="I35" s="13" t="n">
        <v>-253567</v>
      </c>
      <c r="J35" s="13" t="n">
        <v>822151</v>
      </c>
      <c r="K35" s="14" t="n">
        <v>568584</v>
      </c>
      <c r="L35" s="13">
        <f>IF(H35="","",K35-H35)</f>
        <v/>
      </c>
    </row>
    <row r="36">
      <c r="A36" s="2" t="inlineStr">
        <is>
          <t>2024Q1</t>
        </is>
      </c>
      <c r="B36" s="11" t="n">
        <v>1347</v>
      </c>
      <c r="C36" s="12">
        <f>IF(B36="","",B36-B35)</f>
        <v/>
      </c>
      <c r="D36" s="11" t="n">
        <v>1329</v>
      </c>
      <c r="E36" s="12">
        <f>IF(D36="","",D36-B35)</f>
        <v/>
      </c>
      <c r="F36" s="13">
        <f>IF(C36="","",($B$3*C36+$D$3*E36)*1000)</f>
        <v/>
      </c>
      <c r="G36" s="13">
        <f>IF(C36="","",(-$F$3*C36+$H$3*E36)*1000)</f>
        <v/>
      </c>
      <c r="H36" s="14">
        <f>IF(F36="","",F36+G36)</f>
        <v/>
      </c>
      <c r="I36" s="13" t="n">
        <v>272554</v>
      </c>
      <c r="J36" s="13" t="n">
        <v>-1174158</v>
      </c>
      <c r="K36" s="14" t="n">
        <v>-901604</v>
      </c>
      <c r="L36" s="13">
        <f>IF(H36="","",K36-H36)</f>
        <v/>
      </c>
    </row>
    <row r="37">
      <c r="A37" s="2" t="inlineStr">
        <is>
          <t>2024Q2</t>
        </is>
      </c>
      <c r="B37" s="11" t="n">
        <v>1377</v>
      </c>
      <c r="C37" s="12">
        <f>IF(B37="","",B37-B36)</f>
        <v/>
      </c>
      <c r="D37" s="11" t="n">
        <v>1371</v>
      </c>
      <c r="E37" s="12">
        <f>IF(D37="","",D37-B36)</f>
        <v/>
      </c>
      <c r="F37" s="13">
        <f>IF(C37="","",($B$3*C37+$D$3*E37)*1000)</f>
        <v/>
      </c>
      <c r="G37" s="13">
        <f>IF(C37="","",(-$F$3*C37+$H$3*E37)*1000)</f>
        <v/>
      </c>
      <c r="H37" s="14">
        <f>IF(F37="","",F37+G37)</f>
        <v/>
      </c>
      <c r="I37" s="13" t="n">
        <v>198813</v>
      </c>
      <c r="J37" s="13" t="n">
        <v>-954573</v>
      </c>
      <c r="K37" s="14" t="n">
        <v>-755760</v>
      </c>
      <c r="L37" s="13">
        <f>IF(H37="","",K37-H37)</f>
        <v/>
      </c>
    </row>
    <row r="38">
      <c r="A38" s="2" t="inlineStr">
        <is>
          <t>2024Q3</t>
        </is>
      </c>
      <c r="B38" s="11" t="n">
        <v>1308</v>
      </c>
      <c r="C38" s="12">
        <f>IF(B38="","",B38-B37)</f>
        <v/>
      </c>
      <c r="D38" s="11" t="n">
        <v>1359</v>
      </c>
      <c r="E38" s="12">
        <f>IF(D38="","",D38-B37)</f>
        <v/>
      </c>
      <c r="F38" s="13">
        <f>IF(C38="","",($B$3*C38+$D$3*E38)*1000)</f>
        <v/>
      </c>
      <c r="G38" s="13">
        <f>IF(C38="","",(-$F$3*C38+$H$3*E38)*1000)</f>
        <v/>
      </c>
      <c r="H38" s="14">
        <f>IF(F38="","",F38+G38)</f>
        <v/>
      </c>
      <c r="I38" s="13" t="n">
        <v>-333821</v>
      </c>
      <c r="J38" s="13" t="n">
        <v>1048082</v>
      </c>
      <c r="K38" s="14" t="n">
        <v>714261</v>
      </c>
      <c r="L38" s="13">
        <f>IF(H38="","",K38-H38)</f>
        <v/>
      </c>
    </row>
    <row r="39">
      <c r="A39" s="2" t="inlineStr">
        <is>
          <t>2024Q4</t>
        </is>
      </c>
      <c r="B39" s="11" t="n">
        <v>1472</v>
      </c>
      <c r="C39" s="12">
        <f>IF(B39="","",B39-B38)</f>
        <v/>
      </c>
      <c r="D39" s="11" t="n">
        <v>1398</v>
      </c>
      <c r="E39" s="12">
        <f>IF(D39="","",D39-B38)</f>
        <v/>
      </c>
      <c r="F39" s="13">
        <f>IF(C39="","",($B$3*C39+$D$3*E39)*1000)</f>
        <v/>
      </c>
      <c r="G39" s="13">
        <f>IF(C39="","",(-$F$3*C39+$H$3*E39)*1000)</f>
        <v/>
      </c>
      <c r="H39" s="14">
        <f>IF(F39="","",F39+G39)</f>
        <v/>
      </c>
      <c r="I39" s="13" t="n">
        <v>720932</v>
      </c>
      <c r="J39" s="13" t="n">
        <v>-3092288</v>
      </c>
      <c r="K39" s="14" t="n">
        <v>-2371356</v>
      </c>
      <c r="L39" s="13">
        <f>IF(H39="","",K39-H39)</f>
        <v/>
      </c>
    </row>
    <row r="40">
      <c r="A40" s="2" t="inlineStr">
        <is>
          <t>2025Q1</t>
        </is>
      </c>
      <c r="B40" s="15" t="n"/>
      <c r="C40" s="12">
        <f>IF(B40="","",B40-B39)</f>
        <v/>
      </c>
      <c r="D40" s="15" t="n"/>
      <c r="E40" s="12">
        <f>IF(D40="","",D40-B39)</f>
        <v/>
      </c>
      <c r="F40" s="13">
        <f>IF(C40="","",($B$3*C40+$D$3*E40)*1000)</f>
        <v/>
      </c>
      <c r="G40" s="13">
        <f>IF(C40="","",(-$F$3*C40+$H$3*E40)*1000)</f>
        <v/>
      </c>
      <c r="H40" s="14">
        <f>IF(F40="","",F40+G40)</f>
        <v/>
      </c>
      <c r="I40" s="13" t="n">
        <v>-49201</v>
      </c>
      <c r="J40" s="13" t="n">
        <v>-194842</v>
      </c>
      <c r="K40" s="14" t="n">
        <v>-244043</v>
      </c>
      <c r="L40" s="13">
        <f>IF(H40="","",K40-H40)</f>
        <v/>
      </c>
    </row>
    <row r="41">
      <c r="A41" s="2" t="inlineStr">
        <is>
          <t>2025Q2</t>
        </is>
      </c>
      <c r="B41" s="15" t="n"/>
      <c r="C41" s="12">
        <f>IF(B41="","",B41-B40)</f>
        <v/>
      </c>
      <c r="D41" s="15" t="n"/>
      <c r="E41" s="12">
        <f>IF(D41="","",D41-B40)</f>
        <v/>
      </c>
      <c r="F41" s="13">
        <f>IF(C41="","",($B$3*C41+$D$3*E41)*1000)</f>
        <v/>
      </c>
      <c r="G41" s="13">
        <f>IF(C41="","",(-$F$3*C41+$H$3*E41)*1000)</f>
        <v/>
      </c>
      <c r="H41" s="14">
        <f>IF(F41="","",F41+G41)</f>
        <v/>
      </c>
      <c r="I41" s="13" t="n">
        <v>-589345</v>
      </c>
      <c r="J41" s="13" t="n">
        <v>2221576</v>
      </c>
      <c r="K41" s="14" t="n">
        <v>1632231</v>
      </c>
      <c r="L41" s="13">
        <f>IF(H41="","",K41-H41)</f>
        <v/>
      </c>
    </row>
    <row r="42">
      <c r="A42" s="2" t="inlineStr">
        <is>
          <t>2025Q3</t>
        </is>
      </c>
      <c r="B42" s="15" t="n"/>
      <c r="C42" s="12">
        <f>IF(B42="","",B42-B41)</f>
        <v/>
      </c>
      <c r="D42" s="15" t="n"/>
      <c r="E42" s="12">
        <f>IF(D42="","",D42-B41)</f>
        <v/>
      </c>
      <c r="F42" s="13">
        <f>IF(C42="","",($B$3*C42+$D$3*E42)*1000)</f>
        <v/>
      </c>
      <c r="G42" s="13">
        <f>IF(C42="","",(-$F$3*C42+$H$3*E42)*1000)</f>
        <v/>
      </c>
      <c r="H42" s="14">
        <f>IF(F42="","",F42+G42)</f>
        <v/>
      </c>
      <c r="I42" s="13" t="n">
        <v>227777</v>
      </c>
      <c r="J42" s="13" t="n">
        <v>-1237433</v>
      </c>
      <c r="K42" s="14" t="n">
        <v>-1009656</v>
      </c>
      <c r="L42" s="13">
        <f>IF(H42="","",K42-H42)</f>
        <v/>
      </c>
    </row>
    <row r="43">
      <c r="A43" s="2" t="inlineStr">
        <is>
          <t>2025Q4</t>
        </is>
      </c>
      <c r="B43" s="15" t="n"/>
      <c r="C43" s="12">
        <f>IF(B43="","",B43-B42)</f>
        <v/>
      </c>
      <c r="D43" s="15" t="n"/>
      <c r="E43" s="12">
        <f>IF(D43="","",D43-B42)</f>
        <v/>
      </c>
      <c r="F43" s="13">
        <f>IF(C43="","",($B$3*C43+$D$3*E43)*1000)</f>
        <v/>
      </c>
      <c r="G43" s="13">
        <f>IF(C43="","",(-$F$3*C43+$H$3*E43)*1000)</f>
        <v/>
      </c>
      <c r="H43" s="14">
        <f>IF(F43="","",F43+G43)</f>
        <v/>
      </c>
      <c r="I43" s="13" t="n">
        <v>132946</v>
      </c>
      <c r="J43" s="13" t="n">
        <v>-950406</v>
      </c>
      <c r="K43" s="14" t="n">
        <v>-817460</v>
      </c>
      <c r="L43" s="13">
        <f>IF(H43="","",K43-H43)</f>
        <v/>
      </c>
    </row>
    <row r="44">
      <c r="A44" s="2" t="inlineStr">
        <is>
          <t>2026Q1</t>
        </is>
      </c>
      <c r="B44" s="15" t="n"/>
      <c r="C44" s="12">
        <f>IF(B44="","",B44-B43)</f>
        <v/>
      </c>
      <c r="D44" s="15" t="n"/>
      <c r="E44" s="12">
        <f>IF(D44="","",D44-B43)</f>
        <v/>
      </c>
      <c r="F44" s="13">
        <f>IF(C44="","",($B$3*C44+$D$3*E44)*1000)</f>
        <v/>
      </c>
      <c r="G44" s="13">
        <f>IF(C44="","",(-$F$3*C44+$H$3*E44)*1000)</f>
        <v/>
      </c>
      <c r="H44" s="14">
        <f>IF(F44="","",F44+G44)</f>
        <v/>
      </c>
      <c r="I44" s="13" t="n">
        <v>438041</v>
      </c>
      <c r="J44" s="13" t="n">
        <v>-1846164</v>
      </c>
      <c r="K44" s="14" t="n">
        <v>-1408123</v>
      </c>
      <c r="L44" s="13">
        <f>IF(H44="","",K44-H44)</f>
        <v/>
      </c>
    </row>
    <row r="45">
      <c r="A45" s="2" t="inlineStr">
        <is>
          <t>2026Q2</t>
        </is>
      </c>
      <c r="B45" s="15" t="n"/>
      <c r="C45" s="12">
        <f>IF(B45="","",B45-B44)</f>
        <v/>
      </c>
      <c r="D45" s="15" t="n"/>
      <c r="E45" s="12">
        <f>IF(D45="","",D45-B44)</f>
        <v/>
      </c>
      <c r="F45" s="13">
        <f>IF(C45="","",($B$3*C45+$D$3*E45)*1000)</f>
        <v/>
      </c>
      <c r="G45" s="13">
        <f>IF(C45="","",(-$F$3*C45+$H$3*E45)*1000)</f>
        <v/>
      </c>
      <c r="H45" s="14">
        <f>IF(F45="","",F45+G45)</f>
        <v/>
      </c>
      <c r="I45" s="13" t="n">
        <v>186528</v>
      </c>
      <c r="J45" s="13" t="n">
        <v>-774212</v>
      </c>
      <c r="K45" s="14" t="n">
        <v>-587684</v>
      </c>
      <c r="L45" s="13">
        <f>IF(H45="","",K45-H45)</f>
        <v/>
      </c>
    </row>
    <row r="46">
      <c r="A46" s="2" t="inlineStr">
        <is>
          <t>2026Q3</t>
        </is>
      </c>
      <c r="B46" s="15" t="n"/>
      <c r="C46" s="12">
        <f>IF(B46="","",B46-B45)</f>
        <v/>
      </c>
      <c r="D46" s="15" t="n"/>
      <c r="E46" s="12">
        <f>IF(D46="","",D46-B45)</f>
        <v/>
      </c>
      <c r="F46" s="13">
        <f>IF(C46="","",($B$3*C46+$D$3*E46)*1000)</f>
        <v/>
      </c>
      <c r="G46" s="13">
        <f>IF(C46="","",(-$F$3*C46+$H$3*E46)*1000)</f>
        <v/>
      </c>
      <c r="H46" s="14">
        <f>IF(F46="","",F46+G46)</f>
        <v/>
      </c>
      <c r="I46" s="13" t="n"/>
      <c r="J46" s="13" t="n"/>
      <c r="K46" s="14" t="n"/>
      <c r="L46" s="13" t="n"/>
    </row>
    <row r="47">
      <c r="A47" s="2" t="inlineStr">
        <is>
          <t>2026Q4</t>
        </is>
      </c>
      <c r="B47" s="15" t="n"/>
      <c r="C47" s="12">
        <f>IF(B47="","",B47-B46)</f>
        <v/>
      </c>
      <c r="D47" s="15" t="n"/>
      <c r="E47" s="12">
        <f>IF(D47="","",D47-B46)</f>
        <v/>
      </c>
      <c r="F47" s="13">
        <f>IF(C47="","",($B$3*C47+$D$3*E47)*1000)</f>
        <v/>
      </c>
      <c r="G47" s="13">
        <f>IF(C47="","",(-$F$3*C47+$H$3*E47)*1000)</f>
        <v/>
      </c>
      <c r="H47" s="14">
        <f>IF(F47="","",F47+G47)</f>
        <v/>
      </c>
      <c r="I47" s="13" t="n"/>
      <c r="J47" s="13" t="n"/>
      <c r="K47" s="14" t="n"/>
      <c r="L47" s="13" t="n"/>
    </row>
    <row r="48">
      <c r="A48" s="2" t="inlineStr">
        <is>
          <t>2027Q1</t>
        </is>
      </c>
      <c r="B48" s="15" t="n"/>
      <c r="C48" s="12">
        <f>IF(B48="","",B48-B47)</f>
        <v/>
      </c>
      <c r="D48" s="15" t="n"/>
      <c r="E48" s="12">
        <f>IF(D48="","",D48-B47)</f>
        <v/>
      </c>
      <c r="F48" s="13">
        <f>IF(C48="","",($B$3*C48+$D$3*E48)*1000)</f>
        <v/>
      </c>
      <c r="G48" s="13">
        <f>IF(C48="","",(-$F$3*C48+$H$3*E48)*1000)</f>
        <v/>
      </c>
      <c r="H48" s="14">
        <f>IF(F48="","",F48+G48)</f>
        <v/>
      </c>
      <c r="I48" s="13" t="n"/>
      <c r="J48" s="13" t="n"/>
      <c r="K48" s="14" t="n"/>
      <c r="L48" s="13" t="n"/>
    </row>
    <row r="49">
      <c r="A49" s="2" t="inlineStr">
        <is>
          <t>2027Q2</t>
        </is>
      </c>
      <c r="B49" s="15" t="n"/>
      <c r="C49" s="12">
        <f>IF(B49="","",B49-B48)</f>
        <v/>
      </c>
      <c r="D49" s="15" t="n"/>
      <c r="E49" s="12">
        <f>IF(D49="","",D49-B48)</f>
        <v/>
      </c>
      <c r="F49" s="13">
        <f>IF(C49="","",($B$3*C49+$D$3*E49)*1000)</f>
        <v/>
      </c>
      <c r="G49" s="13">
        <f>IF(C49="","",(-$F$3*C49+$H$3*E49)*1000)</f>
        <v/>
      </c>
      <c r="H49" s="14">
        <f>IF(F49="","",F49+G49)</f>
        <v/>
      </c>
      <c r="I49" s="13" t="n"/>
      <c r="J49" s="13" t="n"/>
      <c r="K49" s="14" t="n"/>
      <c r="L49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6" t="inlineStr">
        <is>
          <t>삼성중공업 — 외환·파생손익 요인 분해</t>
        </is>
      </c>
    </row>
    <row r="2">
      <c r="A2" s="7" t="inlineStr">
        <is>
          <t>(단위: 백만원 / 노란 칸 = 입력값 / 추정 = 공식·사용법 시트의 우산 모델 수식 / 실제 = DART 주석 추출값)</t>
        </is>
      </c>
    </row>
    <row r="3">
      <c r="A3" s="3" t="inlineStr">
        <is>
          <t>NFA($B)</t>
        </is>
      </c>
      <c r="B3" s="8" t="n">
        <v>-0.37</v>
      </c>
      <c r="C3" s="3" t="inlineStr">
        <is>
          <t>F_fx($B)</t>
        </is>
      </c>
      <c r="D3" s="8" t="n">
        <v>1.59</v>
      </c>
      <c r="E3" s="3" t="inlineStr">
        <is>
          <t>H($B)</t>
        </is>
      </c>
      <c r="F3" s="8" t="n">
        <v>18.72</v>
      </c>
      <c r="G3" s="3" t="inlineStr">
        <is>
          <t>F_dv($B)</t>
        </is>
      </c>
      <c r="H3" s="8" t="n">
        <v>2.4</v>
      </c>
    </row>
    <row r="5">
      <c r="A5" s="9" t="inlineStr">
        <is>
          <t>분기</t>
        </is>
      </c>
      <c r="B5" s="9" t="inlineStr">
        <is>
          <t>분기말 환율</t>
        </is>
      </c>
      <c r="C5" s="9" t="inlineStr">
        <is>
          <t>Δe (기말-전기말)</t>
        </is>
      </c>
      <c r="D5" s="9" t="inlineStr">
        <is>
          <t>분기평균 환율</t>
        </is>
      </c>
      <c r="E5" s="9" t="inlineStr">
        <is>
          <t>m (평균-전기말)</t>
        </is>
      </c>
      <c r="F5" s="9" t="inlineStr">
        <is>
          <t>추정 순외환</t>
        </is>
      </c>
      <c r="G5" s="9" t="inlineStr">
        <is>
          <t>추정 순파생</t>
        </is>
      </c>
      <c r="H5" s="9" t="inlineStr">
        <is>
          <t>추정 합산</t>
        </is>
      </c>
      <c r="I5" s="9" t="inlineStr">
        <is>
          <t>실제 순외환</t>
        </is>
      </c>
      <c r="J5" s="9" t="inlineStr">
        <is>
          <t>실제 순파생</t>
        </is>
      </c>
      <c r="K5" s="9" t="inlineStr">
        <is>
          <t>실제 합산</t>
        </is>
      </c>
      <c r="L5" s="9" t="inlineStr">
        <is>
          <t>오차 (실제-추정)</t>
        </is>
      </c>
    </row>
    <row r="6">
      <c r="A6" s="2" t="inlineStr">
        <is>
          <t>2016Q3</t>
        </is>
      </c>
      <c r="B6" s="10" t="n">
        <v>1101</v>
      </c>
    </row>
    <row r="7">
      <c r="A7" s="2" t="inlineStr">
        <is>
          <t>2016Q4</t>
        </is>
      </c>
      <c r="B7" s="11" t="n">
        <v>1208</v>
      </c>
      <c r="C7" s="12">
        <f>IF(B7="","",B7-B6)</f>
        <v/>
      </c>
      <c r="D7" s="11" t="n">
        <v>1157</v>
      </c>
      <c r="E7" s="12">
        <f>IF(D7="","",D7-B6)</f>
        <v/>
      </c>
      <c r="F7" s="13" t="n"/>
      <c r="G7" s="13" t="n"/>
      <c r="H7" s="14" t="n"/>
      <c r="I7" s="13" t="n">
        <v>272679</v>
      </c>
      <c r="J7" s="13" t="n">
        <v>-868119</v>
      </c>
      <c r="K7" s="14" t="n">
        <v>-595441</v>
      </c>
      <c r="L7" s="13" t="n"/>
    </row>
    <row r="8">
      <c r="A8" s="2" t="inlineStr">
        <is>
          <t>2017Q1</t>
        </is>
      </c>
      <c r="B8" s="11" t="n">
        <v>1118</v>
      </c>
      <c r="C8" s="12">
        <f>IF(B8="","",B8-B7)</f>
        <v/>
      </c>
      <c r="D8" s="11" t="n">
        <v>1153</v>
      </c>
      <c r="E8" s="12">
        <f>IF(D8="","",D8-B7)</f>
        <v/>
      </c>
      <c r="F8" s="13" t="n"/>
      <c r="G8" s="13" t="n"/>
      <c r="H8" s="14" t="n"/>
      <c r="I8" s="13" t="n">
        <v>-358366</v>
      </c>
      <c r="J8" s="13" t="n">
        <v>657382</v>
      </c>
      <c r="K8" s="14" t="n">
        <v>299016</v>
      </c>
      <c r="L8" s="13" t="n"/>
    </row>
    <row r="9">
      <c r="A9" s="2" t="inlineStr">
        <is>
          <t>2017Q2</t>
        </is>
      </c>
      <c r="B9" s="11" t="n">
        <v>1144</v>
      </c>
      <c r="C9" s="12">
        <f>IF(B9="","",B9-B8)</f>
        <v/>
      </c>
      <c r="D9" s="11" t="n">
        <v>1130</v>
      </c>
      <c r="E9" s="12">
        <f>IF(D9="","",D9-B8)</f>
        <v/>
      </c>
      <c r="F9" s="13" t="n"/>
      <c r="G9" s="13" t="n"/>
      <c r="H9" s="14" t="n"/>
      <c r="I9" s="13" t="n">
        <v>53501</v>
      </c>
      <c r="J9" s="13" t="n">
        <v>-130236</v>
      </c>
      <c r="K9" s="14" t="n">
        <v>-76735</v>
      </c>
      <c r="L9" s="13" t="n"/>
    </row>
    <row r="10">
      <c r="A10" s="2" t="inlineStr">
        <is>
          <t>2017Q3</t>
        </is>
      </c>
      <c r="B10" s="11" t="n">
        <v>1146</v>
      </c>
      <c r="C10" s="12">
        <f>IF(B10="","",B10-B9)</f>
        <v/>
      </c>
      <c r="D10" s="11" t="n">
        <v>1132</v>
      </c>
      <c r="E10" s="12">
        <f>IF(D10="","",D10-B9)</f>
        <v/>
      </c>
      <c r="F10" s="13" t="n"/>
      <c r="G10" s="13" t="n"/>
      <c r="H10" s="14" t="n"/>
      <c r="I10" s="13" t="n">
        <v>-137</v>
      </c>
      <c r="J10" s="13" t="n">
        <v>-23994</v>
      </c>
      <c r="K10" s="14" t="n">
        <v>-24131</v>
      </c>
      <c r="L10" s="13" t="n"/>
    </row>
    <row r="11">
      <c r="A11" s="2" t="inlineStr">
        <is>
          <t>2017Q4</t>
        </is>
      </c>
      <c r="B11" s="11" t="n">
        <v>1071</v>
      </c>
      <c r="C11" s="12">
        <f>IF(B11="","",B11-B10)</f>
        <v/>
      </c>
      <c r="D11" s="11" t="n">
        <v>1092</v>
      </c>
      <c r="E11" s="12">
        <f>IF(D11="","",D11-B10)</f>
        <v/>
      </c>
      <c r="F11" s="13" t="n"/>
      <c r="G11" s="13" t="n"/>
      <c r="H11" s="14" t="n"/>
      <c r="I11" s="13" t="n">
        <v>-92776</v>
      </c>
      <c r="J11" s="13" t="n">
        <v>350465</v>
      </c>
      <c r="K11" s="14" t="n">
        <v>257689</v>
      </c>
      <c r="L11" s="13" t="n"/>
    </row>
    <row r="12">
      <c r="A12" s="2" t="inlineStr">
        <is>
          <t>2018Q1</t>
        </is>
      </c>
      <c r="B12" s="11" t="n">
        <v>1064</v>
      </c>
      <c r="C12" s="12">
        <f>IF(B12="","",B12-B11)</f>
        <v/>
      </c>
      <c r="D12" s="11" t="n">
        <v>1072</v>
      </c>
      <c r="E12" s="12">
        <f>IF(D12="","",D12-B11)</f>
        <v/>
      </c>
      <c r="F12" s="13" t="n"/>
      <c r="G12" s="13" t="n"/>
      <c r="H12" s="14" t="n"/>
      <c r="I12" s="13" t="n">
        <v>-9356</v>
      </c>
      <c r="J12" s="13" t="n">
        <v>29700</v>
      </c>
      <c r="K12" s="14" t="n">
        <v>20344</v>
      </c>
      <c r="L12" s="13" t="n"/>
    </row>
    <row r="13">
      <c r="A13" s="2" t="inlineStr">
        <is>
          <t>2018Q2</t>
        </is>
      </c>
      <c r="B13" s="11" t="n">
        <v>1115</v>
      </c>
      <c r="C13" s="12">
        <f>IF(B13="","",B13-B12)</f>
        <v/>
      </c>
      <c r="D13" s="11" t="n">
        <v>1079</v>
      </c>
      <c r="E13" s="12">
        <f>IF(D13="","",D13-B12)</f>
        <v/>
      </c>
      <c r="F13" s="13" t="n"/>
      <c r="G13" s="13" t="n"/>
      <c r="H13" s="14" t="n"/>
      <c r="I13" s="13" t="n">
        <v>59161</v>
      </c>
      <c r="J13" s="13" t="n">
        <v>-316669</v>
      </c>
      <c r="K13" s="14" t="n">
        <v>-257508</v>
      </c>
      <c r="L13" s="13" t="n"/>
    </row>
    <row r="14">
      <c r="A14" s="2" t="inlineStr">
        <is>
          <t>2018Q3</t>
        </is>
      </c>
      <c r="B14" s="11" t="n">
        <v>1109</v>
      </c>
      <c r="C14" s="12">
        <f>IF(B14="","",B14-B13)</f>
        <v/>
      </c>
      <c r="D14" s="11" t="n">
        <v>1121</v>
      </c>
      <c r="E14" s="12">
        <f>IF(D14="","",D14-B13)</f>
        <v/>
      </c>
      <c r="F14" s="13" t="n"/>
      <c r="G14" s="13" t="n"/>
      <c r="H14" s="14" t="n"/>
      <c r="I14" s="13" t="n">
        <v>-717</v>
      </c>
      <c r="J14" s="13" t="n">
        <v>22244</v>
      </c>
      <c r="K14" s="14" t="n">
        <v>21527</v>
      </c>
      <c r="L14" s="13" t="n"/>
    </row>
    <row r="15">
      <c r="A15" s="2" t="inlineStr">
        <is>
          <t>2018Q4</t>
        </is>
      </c>
      <c r="B15" s="11" t="n">
        <v>1116</v>
      </c>
      <c r="C15" s="12">
        <f>IF(B15="","",B15-B14)</f>
        <v/>
      </c>
      <c r="D15" s="11" t="n">
        <v>1128</v>
      </c>
      <c r="E15" s="12">
        <f>IF(D15="","",D15-B14)</f>
        <v/>
      </c>
      <c r="F15" s="13" t="n"/>
      <c r="G15" s="13" t="n"/>
      <c r="H15" s="14" t="n"/>
      <c r="I15" s="13" t="n">
        <v>-15201</v>
      </c>
      <c r="J15" s="13" t="n">
        <v>-85111</v>
      </c>
      <c r="K15" s="14" t="n">
        <v>-100312</v>
      </c>
      <c r="L15" s="13" t="n"/>
    </row>
    <row r="16">
      <c r="A16" s="2" t="inlineStr">
        <is>
          <t>2019Q1</t>
        </is>
      </c>
      <c r="B16" s="11" t="n">
        <v>1135</v>
      </c>
      <c r="C16" s="12">
        <f>IF(B16="","",B16-B15)</f>
        <v/>
      </c>
      <c r="D16" s="11" t="n">
        <v>1125</v>
      </c>
      <c r="E16" s="12">
        <f>IF(D16="","",D16-B15)</f>
        <v/>
      </c>
      <c r="F16" s="13" t="n"/>
      <c r="G16" s="13" t="n"/>
      <c r="H16" s="14" t="n"/>
      <c r="I16" s="13" t="n">
        <v>31975</v>
      </c>
      <c r="J16" s="13" t="n">
        <v>-204266</v>
      </c>
      <c r="K16" s="14" t="n">
        <v>-172291</v>
      </c>
      <c r="L16" s="13" t="n"/>
    </row>
    <row r="17">
      <c r="A17" s="2" t="inlineStr">
        <is>
          <t>2019Q2</t>
        </is>
      </c>
      <c r="B17" s="11" t="n">
        <v>1155</v>
      </c>
      <c r="C17" s="12">
        <f>IF(B17="","",B17-B16)</f>
        <v/>
      </c>
      <c r="D17" s="11" t="n">
        <v>1166</v>
      </c>
      <c r="E17" s="12">
        <f>IF(D17="","",D17-B16)</f>
        <v/>
      </c>
      <c r="F17" s="13" t="n"/>
      <c r="G17" s="13" t="n"/>
      <c r="H17" s="14" t="n"/>
      <c r="I17" s="13" t="n">
        <v>25458</v>
      </c>
      <c r="J17" s="13" t="n">
        <v>-162197</v>
      </c>
      <c r="K17" s="14" t="n">
        <v>-136739</v>
      </c>
      <c r="L17" s="13" t="n"/>
    </row>
    <row r="18">
      <c r="A18" s="2" t="inlineStr">
        <is>
          <t>2019Q3</t>
        </is>
      </c>
      <c r="B18" s="11" t="n">
        <v>1196</v>
      </c>
      <c r="C18" s="12">
        <f>IF(B18="","",B18-B17)</f>
        <v/>
      </c>
      <c r="D18" s="11" t="n">
        <v>1194</v>
      </c>
      <c r="E18" s="12">
        <f>IF(D18="","",D18-B17)</f>
        <v/>
      </c>
      <c r="F18" s="13" t="n"/>
      <c r="G18" s="13" t="n"/>
      <c r="H18" s="14" t="n"/>
      <c r="I18" s="13" t="n">
        <v>45025</v>
      </c>
      <c r="J18" s="13" t="n">
        <v>-277766</v>
      </c>
      <c r="K18" s="14" t="n">
        <v>-232741</v>
      </c>
      <c r="L18" s="13" t="n"/>
    </row>
    <row r="19">
      <c r="A19" s="2" t="inlineStr">
        <is>
          <t>2019Q4</t>
        </is>
      </c>
      <c r="B19" s="11" t="n">
        <v>1156</v>
      </c>
      <c r="C19" s="12">
        <f>IF(B19="","",B19-B18)</f>
        <v/>
      </c>
      <c r="D19" s="11" t="n">
        <v>1176</v>
      </c>
      <c r="E19" s="12">
        <f>IF(D19="","",D19-B18)</f>
        <v/>
      </c>
      <c r="F19" s="13" t="n"/>
      <c r="G19" s="13" t="n"/>
      <c r="H19" s="14" t="n"/>
      <c r="I19" s="13" t="n">
        <v>-34434</v>
      </c>
      <c r="J19" s="13" t="n">
        <v>312118</v>
      </c>
      <c r="K19" s="14" t="n">
        <v>277684</v>
      </c>
      <c r="L19" s="13" t="n"/>
    </row>
    <row r="20">
      <c r="A20" s="2" t="inlineStr">
        <is>
          <t>2020Q1</t>
        </is>
      </c>
      <c r="B20" s="11" t="n">
        <v>1217</v>
      </c>
      <c r="C20" s="12">
        <f>IF(B20="","",B20-B19)</f>
        <v/>
      </c>
      <c r="D20" s="11" t="n">
        <v>1194</v>
      </c>
      <c r="E20" s="12">
        <f>IF(D20="","",D20-B19)</f>
        <v/>
      </c>
      <c r="F20" s="13" t="n"/>
      <c r="G20" s="13" t="n"/>
      <c r="H20" s="14" t="n"/>
      <c r="I20" s="13" t="n">
        <v>98828</v>
      </c>
      <c r="J20" s="13" t="n">
        <v>-786333</v>
      </c>
      <c r="K20" s="14" t="n">
        <v>-687504</v>
      </c>
      <c r="L20" s="13" t="n"/>
    </row>
    <row r="21">
      <c r="A21" s="2" t="inlineStr">
        <is>
          <t>2020Q2</t>
        </is>
      </c>
      <c r="B21" s="11" t="n">
        <v>1203</v>
      </c>
      <c r="C21" s="12">
        <f>IF(B21="","",B21-B20)</f>
        <v/>
      </c>
      <c r="D21" s="11" t="n">
        <v>1221</v>
      </c>
      <c r="E21" s="12">
        <f>IF(D21="","",D21-B20)</f>
        <v/>
      </c>
      <c r="F21" s="13" t="n"/>
      <c r="G21" s="13" t="n"/>
      <c r="H21" s="14" t="n"/>
      <c r="I21" s="13" t="n">
        <v>-6943</v>
      </c>
      <c r="J21" s="13" t="n">
        <v>120933</v>
      </c>
      <c r="K21" s="14" t="n">
        <v>113989</v>
      </c>
      <c r="L21" s="13" t="n"/>
    </row>
    <row r="22">
      <c r="A22" s="2" t="inlineStr">
        <is>
          <t>2020Q3</t>
        </is>
      </c>
      <c r="B22" s="11" t="n">
        <v>1170</v>
      </c>
      <c r="C22" s="12">
        <f>IF(B22="","",B22-B21)</f>
        <v/>
      </c>
      <c r="D22" s="11" t="n">
        <v>1188</v>
      </c>
      <c r="E22" s="12">
        <f>IF(D22="","",D22-B21)</f>
        <v/>
      </c>
      <c r="F22" s="13" t="n"/>
      <c r="G22" s="13" t="n"/>
      <c r="H22" s="14" t="n"/>
      <c r="I22" s="13" t="n">
        <v>-4213</v>
      </c>
      <c r="J22" s="13" t="n">
        <v>223309</v>
      </c>
      <c r="K22" s="14" t="n">
        <v>219097</v>
      </c>
      <c r="L22" s="13" t="n"/>
    </row>
    <row r="23">
      <c r="A23" s="2" t="inlineStr">
        <is>
          <t>2020Q4</t>
        </is>
      </c>
      <c r="B23" s="11" t="n">
        <v>1086</v>
      </c>
      <c r="C23" s="12">
        <f>IF(B23="","",B23-B22)</f>
        <v/>
      </c>
      <c r="D23" s="11" t="n">
        <v>1118</v>
      </c>
      <c r="E23" s="12">
        <f>IF(D23="","",D23-B22)</f>
        <v/>
      </c>
      <c r="F23" s="13" t="n"/>
      <c r="G23" s="13" t="n"/>
      <c r="H23" s="14" t="n"/>
      <c r="I23" s="13" t="n">
        <v>-3750</v>
      </c>
      <c r="J23" s="13" t="n">
        <v>767998</v>
      </c>
      <c r="K23" s="14" t="n">
        <v>764247</v>
      </c>
      <c r="L23" s="13" t="n"/>
    </row>
    <row r="24">
      <c r="A24" s="2" t="inlineStr">
        <is>
          <t>2021Q1</t>
        </is>
      </c>
      <c r="B24" s="11" t="n">
        <v>1132</v>
      </c>
      <c r="C24" s="12">
        <f>IF(B24="","",B24-B23)</f>
        <v/>
      </c>
      <c r="D24" s="11" t="n">
        <v>1114</v>
      </c>
      <c r="E24" s="12">
        <f>IF(D24="","",D24-B23)</f>
        <v/>
      </c>
      <c r="F24" s="13" t="n"/>
      <c r="G24" s="13" t="n"/>
      <c r="H24" s="14" t="n"/>
      <c r="I24" s="13" t="n">
        <v>56037</v>
      </c>
      <c r="J24" s="13" t="n">
        <v>-478252</v>
      </c>
      <c r="K24" s="14" t="n">
        <v>-422214</v>
      </c>
      <c r="L24" s="13" t="n"/>
    </row>
    <row r="25">
      <c r="A25" s="2" t="inlineStr">
        <is>
          <t>2021Q2</t>
        </is>
      </c>
      <c r="B25" s="11" t="n">
        <v>1126</v>
      </c>
      <c r="C25" s="12">
        <f>IF(B25="","",B25-B24)</f>
        <v/>
      </c>
      <c r="D25" s="11" t="n">
        <v>1121</v>
      </c>
      <c r="E25" s="12">
        <f>IF(D25="","",D25-B24)</f>
        <v/>
      </c>
      <c r="F25" s="13" t="n"/>
      <c r="G25" s="13" t="n"/>
      <c r="H25" s="14" t="n"/>
      <c r="I25" s="13" t="n">
        <v>-15349</v>
      </c>
      <c r="J25" s="13" t="n">
        <v>4018</v>
      </c>
      <c r="K25" s="14" t="n">
        <v>-11331</v>
      </c>
      <c r="L25" s="13" t="n"/>
    </row>
    <row r="26">
      <c r="A26" s="2" t="inlineStr">
        <is>
          <t>2021Q3</t>
        </is>
      </c>
      <c r="B26" s="11" t="n">
        <v>1184</v>
      </c>
      <c r="C26" s="12">
        <f>IF(B26="","",B26-B25)</f>
        <v/>
      </c>
      <c r="D26" s="11" t="n">
        <v>1157</v>
      </c>
      <c r="E26" s="12">
        <f>IF(D26="","",D26-B25)</f>
        <v/>
      </c>
      <c r="F26" s="13" t="n"/>
      <c r="G26" s="13" t="n"/>
      <c r="H26" s="14" t="n"/>
      <c r="I26" s="13" t="n">
        <v>15296</v>
      </c>
      <c r="J26" s="13" t="n">
        <v>-671780</v>
      </c>
      <c r="K26" s="14" t="n">
        <v>-656484</v>
      </c>
      <c r="L26" s="13" t="n"/>
    </row>
    <row r="27">
      <c r="A27" s="2" t="inlineStr">
        <is>
          <t>2021Q4</t>
        </is>
      </c>
      <c r="B27" s="11" t="n">
        <v>1189</v>
      </c>
      <c r="C27" s="12">
        <f>IF(B27="","",B27-B26)</f>
        <v/>
      </c>
      <c r="D27" s="11" t="n">
        <v>1183</v>
      </c>
      <c r="E27" s="12">
        <f>IF(D27="","",D27-B26)</f>
        <v/>
      </c>
      <c r="F27" s="13" t="n"/>
      <c r="G27" s="13" t="n"/>
      <c r="H27" s="14" t="n"/>
      <c r="I27" s="13" t="n">
        <v>319</v>
      </c>
      <c r="J27" s="13" t="n">
        <v>-11997</v>
      </c>
      <c r="K27" s="14" t="n">
        <v>-11678</v>
      </c>
      <c r="L27" s="13" t="n"/>
    </row>
    <row r="28">
      <c r="A28" s="2" t="inlineStr">
        <is>
          <t>2022Q1</t>
        </is>
      </c>
      <c r="B28" s="11" t="n">
        <v>1212</v>
      </c>
      <c r="C28" s="12">
        <f>IF(B28="","",B28-B27)</f>
        <v/>
      </c>
      <c r="D28" s="11" t="n">
        <v>1205</v>
      </c>
      <c r="E28" s="12">
        <f>IF(D28="","",D28-B27)</f>
        <v/>
      </c>
      <c r="F28" s="13">
        <f>IF(C28="","",($B$3*C28+$D$3*E28)*1000)</f>
        <v/>
      </c>
      <c r="G28" s="13">
        <f>IF(C28="","",(-$F$3*C28+$H$3*E28)*1000)</f>
        <v/>
      </c>
      <c r="H28" s="14">
        <f>IF(F28="","",F28+G28)</f>
        <v/>
      </c>
      <c r="I28" s="13" t="n">
        <v>25101</v>
      </c>
      <c r="J28" s="13" t="n">
        <v>-252619</v>
      </c>
      <c r="K28" s="14" t="n">
        <v>-227517</v>
      </c>
      <c r="L28" s="13">
        <f>IF(H28="","",K28-H28)</f>
        <v/>
      </c>
    </row>
    <row r="29">
      <c r="A29" s="2" t="inlineStr">
        <is>
          <t>2022Q2</t>
        </is>
      </c>
      <c r="B29" s="11" t="n">
        <v>1292</v>
      </c>
      <c r="C29" s="12">
        <f>IF(B29="","",B29-B28)</f>
        <v/>
      </c>
      <c r="D29" s="11" t="n">
        <v>1260</v>
      </c>
      <c r="E29" s="12">
        <f>IF(D29="","",D29-B28)</f>
        <v/>
      </c>
      <c r="F29" s="13">
        <f>IF(C29="","",($B$3*C29+$D$3*E29)*1000)</f>
        <v/>
      </c>
      <c r="G29" s="13">
        <f>IF(C29="","",(-$F$3*C29+$H$3*E29)*1000)</f>
        <v/>
      </c>
      <c r="H29" s="14">
        <f>IF(F29="","",F29+G29)</f>
        <v/>
      </c>
      <c r="I29" s="13" t="n">
        <v>44281</v>
      </c>
      <c r="J29" s="13" t="n">
        <v>-1316782</v>
      </c>
      <c r="K29" s="14" t="n">
        <v>-1272501</v>
      </c>
      <c r="L29" s="13">
        <f>IF(H29="","",K29-H29)</f>
        <v/>
      </c>
    </row>
    <row r="30">
      <c r="A30" s="2" t="inlineStr">
        <is>
          <t>2022Q3</t>
        </is>
      </c>
      <c r="B30" s="11" t="n">
        <v>1431</v>
      </c>
      <c r="C30" s="12">
        <f>IF(B30="","",B30-B29)</f>
        <v/>
      </c>
      <c r="D30" s="11" t="n">
        <v>1338</v>
      </c>
      <c r="E30" s="12">
        <f>IF(D30="","",D30-B29)</f>
        <v/>
      </c>
      <c r="F30" s="13">
        <f>IF(C30="","",($B$3*C30+$D$3*E30)*1000)</f>
        <v/>
      </c>
      <c r="G30" s="13">
        <f>IF(C30="","",(-$F$3*C30+$H$3*E30)*1000)</f>
        <v/>
      </c>
      <c r="H30" s="14">
        <f>IF(F30="","",F30+G30)</f>
        <v/>
      </c>
      <c r="I30" s="13" t="n">
        <v>-913</v>
      </c>
      <c r="J30" s="13" t="n">
        <v>-2466458</v>
      </c>
      <c r="K30" s="14" t="n">
        <v>-2467371</v>
      </c>
      <c r="L30" s="13">
        <f>IF(H30="","",K30-H30)</f>
        <v/>
      </c>
    </row>
    <row r="31">
      <c r="A31" s="2" t="inlineStr">
        <is>
          <t>2022Q4</t>
        </is>
      </c>
      <c r="B31" s="11" t="n">
        <v>1265</v>
      </c>
      <c r="C31" s="12">
        <f>IF(B31="","",B31-B30)</f>
        <v/>
      </c>
      <c r="D31" s="11" t="n">
        <v>1359</v>
      </c>
      <c r="E31" s="12">
        <f>IF(D31="","",D31-B30)</f>
        <v/>
      </c>
      <c r="F31" s="13">
        <f>IF(C31="","",($B$3*C31+$D$3*E31)*1000)</f>
        <v/>
      </c>
      <c r="G31" s="13">
        <f>IF(C31="","",(-$F$3*C31+$H$3*E31)*1000)</f>
        <v/>
      </c>
      <c r="H31" s="14">
        <f>IF(F31="","",F31+G31)</f>
        <v/>
      </c>
      <c r="I31" s="13" t="n">
        <v>-16185</v>
      </c>
      <c r="J31" s="13" t="n">
        <v>2780458</v>
      </c>
      <c r="K31" s="14" t="n">
        <v>2764273</v>
      </c>
      <c r="L31" s="13">
        <f>IF(H31="","",K31-H31)</f>
        <v/>
      </c>
    </row>
    <row r="32">
      <c r="A32" s="2" t="inlineStr">
        <is>
          <t>2023Q1</t>
        </is>
      </c>
      <c r="B32" s="11" t="n">
        <v>1302</v>
      </c>
      <c r="C32" s="12">
        <f>IF(B32="","",B32-B31)</f>
        <v/>
      </c>
      <c r="D32" s="11" t="n">
        <v>1276</v>
      </c>
      <c r="E32" s="12">
        <f>IF(D32="","",D32-B31)</f>
        <v/>
      </c>
      <c r="F32" s="13">
        <f>IF(C32="","",($B$3*C32+$D$3*E32)*1000)</f>
        <v/>
      </c>
      <c r="G32" s="13">
        <f>IF(C32="","",(-$F$3*C32+$H$3*E32)*1000)</f>
        <v/>
      </c>
      <c r="H32" s="14">
        <f>IF(F32="","",F32+G32)</f>
        <v/>
      </c>
      <c r="I32" s="13" t="n">
        <v>48958</v>
      </c>
      <c r="J32" s="13" t="n">
        <v>-711549</v>
      </c>
      <c r="K32" s="14" t="n">
        <v>-662591</v>
      </c>
      <c r="L32" s="13">
        <f>IF(H32="","",K32-H32)</f>
        <v/>
      </c>
    </row>
    <row r="33">
      <c r="A33" s="2" t="inlineStr">
        <is>
          <t>2023Q2</t>
        </is>
      </c>
      <c r="B33" s="11" t="n">
        <v>1318</v>
      </c>
      <c r="C33" s="12">
        <f>IF(B33="","",B33-B32)</f>
        <v/>
      </c>
      <c r="D33" s="11" t="n">
        <v>1315</v>
      </c>
      <c r="E33" s="12">
        <f>IF(D33="","",D33-B32)</f>
        <v/>
      </c>
      <c r="F33" s="13">
        <f>IF(C33="","",($B$3*C33+$D$3*E33)*1000)</f>
        <v/>
      </c>
      <c r="G33" s="13">
        <f>IF(C33="","",(-$F$3*C33+$H$3*E33)*1000)</f>
        <v/>
      </c>
      <c r="H33" s="14">
        <f>IF(F33="","",F33+G33)</f>
        <v/>
      </c>
      <c r="I33" s="13" t="n">
        <v>5563</v>
      </c>
      <c r="J33" s="13" t="n">
        <v>-264764</v>
      </c>
      <c r="K33" s="14" t="n">
        <v>-259201</v>
      </c>
      <c r="L33" s="13">
        <f>IF(H33="","",K33-H33)</f>
        <v/>
      </c>
    </row>
    <row r="34">
      <c r="A34" s="2" t="inlineStr">
        <is>
          <t>2023Q3</t>
        </is>
      </c>
      <c r="B34" s="11" t="n">
        <v>1349</v>
      </c>
      <c r="C34" s="12">
        <f>IF(B34="","",B34-B33)</f>
        <v/>
      </c>
      <c r="D34" s="11" t="n">
        <v>1311</v>
      </c>
      <c r="E34" s="12">
        <f>IF(D34="","",D34-B33)</f>
        <v/>
      </c>
      <c r="F34" s="13">
        <f>IF(C34="","",($B$3*C34+$D$3*E34)*1000)</f>
        <v/>
      </c>
      <c r="G34" s="13">
        <f>IF(C34="","",(-$F$3*C34+$H$3*E34)*1000)</f>
        <v/>
      </c>
      <c r="H34" s="14">
        <f>IF(F34="","",F34+G34)</f>
        <v/>
      </c>
      <c r="I34" s="13" t="n">
        <v>-407</v>
      </c>
      <c r="J34" s="13" t="n">
        <v>-940530</v>
      </c>
      <c r="K34" s="14" t="n">
        <v>-940937</v>
      </c>
      <c r="L34" s="13">
        <f>IF(H34="","",K34-H34)</f>
        <v/>
      </c>
    </row>
    <row r="35">
      <c r="A35" s="2" t="inlineStr">
        <is>
          <t>2023Q4</t>
        </is>
      </c>
      <c r="B35" s="11" t="n">
        <v>1289</v>
      </c>
      <c r="C35" s="12">
        <f>IF(B35="","",B35-B34)</f>
        <v/>
      </c>
      <c r="D35" s="11" t="n">
        <v>1321</v>
      </c>
      <c r="E35" s="12">
        <f>IF(D35="","",D35-B34)</f>
        <v/>
      </c>
      <c r="F35" s="13">
        <f>IF(C35="","",($B$3*C35+$D$3*E35)*1000)</f>
        <v/>
      </c>
      <c r="G35" s="13">
        <f>IF(C35="","",(-$F$3*C35+$H$3*E35)*1000)</f>
        <v/>
      </c>
      <c r="H35" s="14">
        <f>IF(F35="","",F35+G35)</f>
        <v/>
      </c>
      <c r="I35" s="13" t="n">
        <v>-61027</v>
      </c>
      <c r="J35" s="13" t="n">
        <v>1604191</v>
      </c>
      <c r="K35" s="14" t="n">
        <v>1543163</v>
      </c>
      <c r="L35" s="13">
        <f>IF(H35="","",K35-H35)</f>
        <v/>
      </c>
    </row>
    <row r="36">
      <c r="A36" s="2" t="inlineStr">
        <is>
          <t>2024Q1</t>
        </is>
      </c>
      <c r="B36" s="11" t="n">
        <v>1347</v>
      </c>
      <c r="C36" s="12">
        <f>IF(B36="","",B36-B35)</f>
        <v/>
      </c>
      <c r="D36" s="11" t="n">
        <v>1329</v>
      </c>
      <c r="E36" s="12">
        <f>IF(D36="","",D36-B35)</f>
        <v/>
      </c>
      <c r="F36" s="13">
        <f>IF(C36="","",($B$3*C36+$D$3*E36)*1000)</f>
        <v/>
      </c>
      <c r="G36" s="13">
        <f>IF(C36="","",(-$F$3*C36+$H$3*E36)*1000)</f>
        <v/>
      </c>
      <c r="H36" s="14">
        <f>IF(F36="","",F36+G36)</f>
        <v/>
      </c>
      <c r="I36" s="13" t="n">
        <v>128895</v>
      </c>
      <c r="J36" s="13" t="n">
        <v>-1359028</v>
      </c>
      <c r="K36" s="14" t="n">
        <v>-1230133</v>
      </c>
      <c r="L36" s="13">
        <f>IF(H36="","",K36-H36)</f>
        <v/>
      </c>
    </row>
    <row r="37">
      <c r="A37" s="2" t="inlineStr">
        <is>
          <t>2024Q2</t>
        </is>
      </c>
      <c r="B37" s="11" t="n">
        <v>1377</v>
      </c>
      <c r="C37" s="12">
        <f>IF(B37="","",B37-B36)</f>
        <v/>
      </c>
      <c r="D37" s="11" t="n">
        <v>1371</v>
      </c>
      <c r="E37" s="12">
        <f>IF(D37="","",D37-B36)</f>
        <v/>
      </c>
      <c r="F37" s="13">
        <f>IF(C37="","",($B$3*C37+$D$3*E37)*1000)</f>
        <v/>
      </c>
      <c r="G37" s="13">
        <f>IF(C37="","",(-$F$3*C37+$H$3*E37)*1000)</f>
        <v/>
      </c>
      <c r="H37" s="14">
        <f>IF(F37="","",F37+G37)</f>
        <v/>
      </c>
      <c r="I37" s="13" t="n">
        <v>63103</v>
      </c>
      <c r="J37" s="13" t="n">
        <v>-1070666</v>
      </c>
      <c r="K37" s="14" t="n">
        <v>-1007563</v>
      </c>
      <c r="L37" s="13">
        <f>IF(H37="","",K37-H37)</f>
        <v/>
      </c>
    </row>
    <row r="38">
      <c r="A38" s="2" t="inlineStr">
        <is>
          <t>2024Q3</t>
        </is>
      </c>
      <c r="B38" s="11" t="n">
        <v>1308</v>
      </c>
      <c r="C38" s="12">
        <f>IF(B38="","",B38-B37)</f>
        <v/>
      </c>
      <c r="D38" s="11" t="n">
        <v>1359</v>
      </c>
      <c r="E38" s="12">
        <f>IF(D38="","",D38-B37)</f>
        <v/>
      </c>
      <c r="F38" s="13">
        <f>IF(C38="","",($B$3*C38+$D$3*E38)*1000)</f>
        <v/>
      </c>
      <c r="G38" s="13">
        <f>IF(C38="","",(-$F$3*C38+$H$3*E38)*1000)</f>
        <v/>
      </c>
      <c r="H38" s="14">
        <f>IF(F38="","",F38+G38)</f>
        <v/>
      </c>
      <c r="I38" s="13" t="n">
        <v>-62584</v>
      </c>
      <c r="J38" s="13" t="n">
        <v>1192593</v>
      </c>
      <c r="K38" s="14" t="n">
        <v>1130009</v>
      </c>
      <c r="L38" s="13">
        <f>IF(H38="","",K38-H38)</f>
        <v/>
      </c>
    </row>
    <row r="39">
      <c r="A39" s="2" t="inlineStr">
        <is>
          <t>2024Q4</t>
        </is>
      </c>
      <c r="B39" s="11" t="n">
        <v>1472</v>
      </c>
      <c r="C39" s="12">
        <f>IF(B39="","",B39-B38)</f>
        <v/>
      </c>
      <c r="D39" s="11" t="n">
        <v>1398</v>
      </c>
      <c r="E39" s="12">
        <f>IF(D39="","",D39-B38)</f>
        <v/>
      </c>
      <c r="F39" s="13">
        <f>IF(C39="","",($B$3*C39+$D$3*E39)*1000)</f>
        <v/>
      </c>
      <c r="G39" s="13">
        <f>IF(C39="","",(-$F$3*C39+$H$3*E39)*1000)</f>
        <v/>
      </c>
      <c r="H39" s="14">
        <f>IF(F39="","",F39+G39)</f>
        <v/>
      </c>
      <c r="I39" s="13" t="n">
        <v>47660</v>
      </c>
      <c r="J39" s="13" t="n">
        <v>-2598113</v>
      </c>
      <c r="K39" s="14" t="n">
        <v>-2550453</v>
      </c>
      <c r="L39" s="13">
        <f>IF(H39="","",K39-H39)</f>
        <v/>
      </c>
    </row>
    <row r="40">
      <c r="A40" s="2" t="inlineStr">
        <is>
          <t>2025Q1</t>
        </is>
      </c>
      <c r="B40" s="15" t="n"/>
      <c r="C40" s="12">
        <f>IF(B40="","",B40-B39)</f>
        <v/>
      </c>
      <c r="D40" s="15" t="n"/>
      <c r="E40" s="12">
        <f>IF(D40="","",D40-B39)</f>
        <v/>
      </c>
      <c r="F40" s="13">
        <f>IF(C40="","",($B$3*C40+$D$3*E40)*1000)</f>
        <v/>
      </c>
      <c r="G40" s="13">
        <f>IF(C40="","",(-$F$3*C40+$H$3*E40)*1000)</f>
        <v/>
      </c>
      <c r="H40" s="14">
        <f>IF(F40="","",F40+G40)</f>
        <v/>
      </c>
      <c r="I40" s="13" t="n">
        <v>-27489</v>
      </c>
      <c r="J40" s="13" t="n">
        <v>566151</v>
      </c>
      <c r="K40" s="14" t="n">
        <v>538662</v>
      </c>
      <c r="L40" s="13">
        <f>IF(H40="","",K40-H40)</f>
        <v/>
      </c>
    </row>
    <row r="41">
      <c r="A41" s="2" t="inlineStr">
        <is>
          <t>2025Q2</t>
        </is>
      </c>
      <c r="B41" s="15" t="n"/>
      <c r="C41" s="12">
        <f>IF(B41="","",B41-B40)</f>
        <v/>
      </c>
      <c r="D41" s="15" t="n"/>
      <c r="E41" s="12">
        <f>IF(D41="","",D41-B40)</f>
        <v/>
      </c>
      <c r="F41" s="13">
        <f>IF(C41="","",($B$3*C41+$D$3*E41)*1000)</f>
        <v/>
      </c>
      <c r="G41" s="13">
        <f>IF(C41="","",(-$F$3*C41+$H$3*E41)*1000)</f>
        <v/>
      </c>
      <c r="H41" s="14">
        <f>IF(F41="","",F41+G41)</f>
        <v/>
      </c>
      <c r="I41" s="13" t="n">
        <v>-128464</v>
      </c>
      <c r="J41" s="13" t="n">
        <v>-87768</v>
      </c>
      <c r="K41" s="14" t="n">
        <v>-216233</v>
      </c>
      <c r="L41" s="13">
        <f>IF(H41="","",K41-H41)</f>
        <v/>
      </c>
    </row>
    <row r="42">
      <c r="A42" s="2" t="inlineStr">
        <is>
          <t>2025Q3</t>
        </is>
      </c>
      <c r="B42" s="15" t="n"/>
      <c r="C42" s="12">
        <f>IF(B42="","",B42-B41)</f>
        <v/>
      </c>
      <c r="D42" s="15" t="n"/>
      <c r="E42" s="12">
        <f>IF(D42="","",D42-B41)</f>
        <v/>
      </c>
      <c r="F42" s="13">
        <f>IF(C42="","",($B$3*C42+$D$3*E42)*1000)</f>
        <v/>
      </c>
      <c r="G42" s="13">
        <f>IF(C42="","",(-$F$3*C42+$H$3*E42)*1000)</f>
        <v/>
      </c>
      <c r="H42" s="14">
        <f>IF(F42="","",F42+G42)</f>
        <v/>
      </c>
      <c r="I42" s="13" t="n">
        <v>24952</v>
      </c>
      <c r="J42" s="13" t="n">
        <v>232747</v>
      </c>
      <c r="K42" s="14" t="n">
        <v>257699</v>
      </c>
      <c r="L42" s="13">
        <f>IF(H42="","",K42-H42)</f>
        <v/>
      </c>
    </row>
    <row r="43">
      <c r="A43" s="2" t="inlineStr">
        <is>
          <t>2025Q4</t>
        </is>
      </c>
      <c r="B43" s="15" t="n"/>
      <c r="C43" s="12">
        <f>IF(B43="","",B43-B42)</f>
        <v/>
      </c>
      <c r="D43" s="15" t="n"/>
      <c r="E43" s="12">
        <f>IF(D43="","",D43-B42)</f>
        <v/>
      </c>
      <c r="F43" s="13">
        <f>IF(C43="","",($B$3*C43+$D$3*E43)*1000)</f>
        <v/>
      </c>
      <c r="G43" s="13">
        <f>IF(C43="","",(-$F$3*C43+$H$3*E43)*1000)</f>
        <v/>
      </c>
      <c r="H43" s="14">
        <f>IF(F43="","",F43+G43)</f>
        <v/>
      </c>
      <c r="I43" s="13" t="n">
        <v>7601</v>
      </c>
      <c r="J43" s="13" t="n">
        <v>-758138</v>
      </c>
      <c r="K43" s="14" t="n">
        <v>-750537</v>
      </c>
      <c r="L43" s="13">
        <f>IF(H43="","",K43-H43)</f>
        <v/>
      </c>
    </row>
    <row r="44">
      <c r="A44" s="2" t="inlineStr">
        <is>
          <t>2026Q1</t>
        </is>
      </c>
      <c r="B44" s="15" t="n"/>
      <c r="C44" s="12">
        <f>IF(B44="","",B44-B43)</f>
        <v/>
      </c>
      <c r="D44" s="15" t="n"/>
      <c r="E44" s="12">
        <f>IF(D44="","",D44-B43)</f>
        <v/>
      </c>
      <c r="F44" s="13">
        <f>IF(C44="","",($B$3*C44+$D$3*E44)*1000)</f>
        <v/>
      </c>
      <c r="G44" s="13">
        <f>IF(C44="","",(-$F$3*C44+$H$3*E44)*1000)</f>
        <v/>
      </c>
      <c r="H44" s="14">
        <f>IF(F44="","",F44+G44)</f>
        <v/>
      </c>
      <c r="I44" s="13" t="n">
        <v>101501</v>
      </c>
      <c r="J44" s="13" t="n">
        <v>-734301</v>
      </c>
      <c r="K44" s="14" t="n">
        <v>-632800</v>
      </c>
      <c r="L44" s="13">
        <f>IF(H44="","",K44-H44)</f>
        <v/>
      </c>
    </row>
    <row r="45">
      <c r="A45" s="2" t="inlineStr">
        <is>
          <t>2026Q2</t>
        </is>
      </c>
      <c r="B45" s="15" t="n"/>
      <c r="C45" s="12">
        <f>IF(B45="","",B45-B44)</f>
        <v/>
      </c>
      <c r="D45" s="15" t="n"/>
      <c r="E45" s="12">
        <f>IF(D45="","",D45-B44)</f>
        <v/>
      </c>
      <c r="F45" s="13">
        <f>IF(C45="","",($B$3*C45+$D$3*E45)*1000)</f>
        <v/>
      </c>
      <c r="G45" s="13">
        <f>IF(C45="","",(-$F$3*C45+$H$3*E45)*1000)</f>
        <v/>
      </c>
      <c r="H45" s="14">
        <f>IF(F45="","",F45+G45)</f>
        <v/>
      </c>
      <c r="I45" s="13" t="n">
        <v>1387</v>
      </c>
      <c r="J45" s="13" t="n">
        <v>-544563</v>
      </c>
      <c r="K45" s="14" t="n">
        <v>-543176</v>
      </c>
      <c r="L45" s="13">
        <f>IF(H45="","",K45-H45)</f>
        <v/>
      </c>
    </row>
    <row r="46">
      <c r="A46" s="2" t="inlineStr">
        <is>
          <t>2026Q3</t>
        </is>
      </c>
      <c r="B46" s="15" t="n"/>
      <c r="C46" s="12">
        <f>IF(B46="","",B46-B45)</f>
        <v/>
      </c>
      <c r="D46" s="15" t="n"/>
      <c r="E46" s="12">
        <f>IF(D46="","",D46-B45)</f>
        <v/>
      </c>
      <c r="F46" s="13">
        <f>IF(C46="","",($B$3*C46+$D$3*E46)*1000)</f>
        <v/>
      </c>
      <c r="G46" s="13">
        <f>IF(C46="","",(-$F$3*C46+$H$3*E46)*1000)</f>
        <v/>
      </c>
      <c r="H46" s="14">
        <f>IF(F46="","",F46+G46)</f>
        <v/>
      </c>
      <c r="I46" s="13" t="n"/>
      <c r="J46" s="13" t="n"/>
      <c r="K46" s="14" t="n"/>
      <c r="L46" s="13" t="n"/>
    </row>
    <row r="47">
      <c r="A47" s="2" t="inlineStr">
        <is>
          <t>2026Q4</t>
        </is>
      </c>
      <c r="B47" s="15" t="n"/>
      <c r="C47" s="12">
        <f>IF(B47="","",B47-B46)</f>
        <v/>
      </c>
      <c r="D47" s="15" t="n"/>
      <c r="E47" s="12">
        <f>IF(D47="","",D47-B46)</f>
        <v/>
      </c>
      <c r="F47" s="13">
        <f>IF(C47="","",($B$3*C47+$D$3*E47)*1000)</f>
        <v/>
      </c>
      <c r="G47" s="13">
        <f>IF(C47="","",(-$F$3*C47+$H$3*E47)*1000)</f>
        <v/>
      </c>
      <c r="H47" s="14">
        <f>IF(F47="","",F47+G47)</f>
        <v/>
      </c>
      <c r="I47" s="13" t="n"/>
      <c r="J47" s="13" t="n"/>
      <c r="K47" s="14" t="n"/>
      <c r="L47" s="13" t="n"/>
    </row>
    <row r="48">
      <c r="A48" s="2" t="inlineStr">
        <is>
          <t>2027Q1</t>
        </is>
      </c>
      <c r="B48" s="15" t="n"/>
      <c r="C48" s="12">
        <f>IF(B48="","",B48-B47)</f>
        <v/>
      </c>
      <c r="D48" s="15" t="n"/>
      <c r="E48" s="12">
        <f>IF(D48="","",D48-B47)</f>
        <v/>
      </c>
      <c r="F48" s="13">
        <f>IF(C48="","",($B$3*C48+$D$3*E48)*1000)</f>
        <v/>
      </c>
      <c r="G48" s="13">
        <f>IF(C48="","",(-$F$3*C48+$H$3*E48)*1000)</f>
        <v/>
      </c>
      <c r="H48" s="14">
        <f>IF(F48="","",F48+G48)</f>
        <v/>
      </c>
      <c r="I48" s="13" t="n"/>
      <c r="J48" s="13" t="n"/>
      <c r="K48" s="14" t="n"/>
      <c r="L48" s="13" t="n"/>
    </row>
    <row r="49">
      <c r="A49" s="2" t="inlineStr">
        <is>
          <t>2027Q2</t>
        </is>
      </c>
      <c r="B49" s="15" t="n"/>
      <c r="C49" s="12">
        <f>IF(B49="","",B49-B48)</f>
        <v/>
      </c>
      <c r="D49" s="15" t="n"/>
      <c r="E49" s="12">
        <f>IF(D49="","",D49-B48)</f>
        <v/>
      </c>
      <c r="F49" s="13">
        <f>IF(C49="","",($B$3*C49+$D$3*E49)*1000)</f>
        <v/>
      </c>
      <c r="G49" s="13">
        <f>IF(C49="","",(-$F$3*C49+$H$3*E49)*1000)</f>
        <v/>
      </c>
      <c r="H49" s="14">
        <f>IF(F49="","",F49+G49)</f>
        <v/>
      </c>
      <c r="I49" s="13" t="n"/>
      <c r="J49" s="13" t="n"/>
      <c r="K49" s="14" t="n"/>
      <c r="L49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6" t="inlineStr">
        <is>
          <t>한화오션 — 외환·파생손익 요인 분해</t>
        </is>
      </c>
    </row>
    <row r="2">
      <c r="A2" s="7" t="inlineStr">
        <is>
          <t>(단위: 백만원 / 노란 칸 = 입력값 / 추정 = 공식·사용법 시트의 우산 모델 수식 / 실제 = DART 주석 추출값)</t>
        </is>
      </c>
    </row>
    <row r="3">
      <c r="A3" s="3" t="inlineStr">
        <is>
          <t>NFA($B)</t>
        </is>
      </c>
      <c r="B3" s="8" t="n">
        <v>1.36</v>
      </c>
      <c r="C3" s="3" t="inlineStr">
        <is>
          <t>F_fx($B)</t>
        </is>
      </c>
      <c r="D3" s="8" t="n">
        <v>-1.14</v>
      </c>
      <c r="E3" s="3" t="inlineStr">
        <is>
          <t>H($B)</t>
        </is>
      </c>
      <c r="F3" s="8" t="n">
        <v>3.85</v>
      </c>
      <c r="G3" s="3" t="inlineStr">
        <is>
          <t>F_dv($B)</t>
        </is>
      </c>
      <c r="H3" s="8" t="n">
        <v>0.26</v>
      </c>
    </row>
    <row r="5">
      <c r="A5" s="9" t="inlineStr">
        <is>
          <t>분기</t>
        </is>
      </c>
      <c r="B5" s="9" t="inlineStr">
        <is>
          <t>분기말 환율</t>
        </is>
      </c>
      <c r="C5" s="9" t="inlineStr">
        <is>
          <t>Δe (기말-전기말)</t>
        </is>
      </c>
      <c r="D5" s="9" t="inlineStr">
        <is>
          <t>분기평균 환율</t>
        </is>
      </c>
      <c r="E5" s="9" t="inlineStr">
        <is>
          <t>m (평균-전기말)</t>
        </is>
      </c>
      <c r="F5" s="9" t="inlineStr">
        <is>
          <t>추정 순외환</t>
        </is>
      </c>
      <c r="G5" s="9" t="inlineStr">
        <is>
          <t>추정 순파생</t>
        </is>
      </c>
      <c r="H5" s="9" t="inlineStr">
        <is>
          <t>추정 합산</t>
        </is>
      </c>
      <c r="I5" s="9" t="inlineStr">
        <is>
          <t>실제 순외환</t>
        </is>
      </c>
      <c r="J5" s="9" t="inlineStr">
        <is>
          <t>실제 순파생</t>
        </is>
      </c>
      <c r="K5" s="9" t="inlineStr">
        <is>
          <t>실제 합산</t>
        </is>
      </c>
      <c r="L5" s="9" t="inlineStr">
        <is>
          <t>오차 (실제-추정)</t>
        </is>
      </c>
    </row>
    <row r="6">
      <c r="A6" s="2" t="inlineStr">
        <is>
          <t>2015Q4</t>
        </is>
      </c>
      <c r="B6" s="10" t="n">
        <v>1172</v>
      </c>
    </row>
    <row r="7">
      <c r="A7" s="2" t="inlineStr">
        <is>
          <t>2016Q1</t>
        </is>
      </c>
      <c r="B7" s="11" t="n">
        <v>1143</v>
      </c>
      <c r="C7" s="12">
        <f>IF(B7="","",B7-B6)</f>
        <v/>
      </c>
      <c r="D7" s="11" t="n">
        <v>1201</v>
      </c>
      <c r="E7" s="12">
        <f>IF(D7="","",D7-B6)</f>
        <v/>
      </c>
      <c r="F7" s="13" t="n"/>
      <c r="G7" s="13" t="n"/>
      <c r="H7" s="14" t="n"/>
      <c r="I7" s="13" t="n">
        <v>2319</v>
      </c>
      <c r="J7" s="13" t="n">
        <v>224067</v>
      </c>
      <c r="K7" s="14" t="n">
        <v>226386</v>
      </c>
      <c r="L7" s="13" t="n"/>
    </row>
    <row r="8">
      <c r="A8" s="2" t="inlineStr">
        <is>
          <t>2016Q4</t>
        </is>
      </c>
      <c r="B8" s="11" t="n">
        <v>1208</v>
      </c>
      <c r="C8" s="12">
        <f>IF(B8="","",B8-B7)</f>
        <v/>
      </c>
      <c r="D8" s="11" t="n">
        <v>1157</v>
      </c>
      <c r="E8" s="12">
        <f>IF(D8="","",D8-B7)</f>
        <v/>
      </c>
      <c r="F8" s="13" t="n"/>
      <c r="G8" s="13" t="n"/>
      <c r="H8" s="14" t="n"/>
      <c r="I8" s="13" t="n">
        <v>-92663</v>
      </c>
      <c r="J8" s="13" t="n">
        <v>-449654</v>
      </c>
      <c r="K8" s="14" t="n">
        <v>-542317</v>
      </c>
      <c r="L8" s="13" t="n"/>
    </row>
    <row r="9">
      <c r="A9" s="2" t="inlineStr">
        <is>
          <t>2017Q1</t>
        </is>
      </c>
      <c r="B9" s="11" t="n">
        <v>1118</v>
      </c>
      <c r="C9" s="12">
        <f>IF(B9="","",B9-B8)</f>
        <v/>
      </c>
      <c r="D9" s="11" t="n">
        <v>1153</v>
      </c>
      <c r="E9" s="12">
        <f>IF(D9="","",D9-B8)</f>
        <v/>
      </c>
      <c r="F9" s="13" t="n"/>
      <c r="G9" s="13" t="n"/>
      <c r="H9" s="14" t="n"/>
      <c r="I9" s="13" t="n">
        <v>-67257</v>
      </c>
      <c r="J9" s="13" t="n">
        <v>452851</v>
      </c>
      <c r="K9" s="14" t="n">
        <v>385594</v>
      </c>
      <c r="L9" s="13" t="n"/>
    </row>
    <row r="10">
      <c r="A10" s="2" t="inlineStr">
        <is>
          <t>2017Q2</t>
        </is>
      </c>
      <c r="B10" s="11" t="n">
        <v>1144</v>
      </c>
      <c r="C10" s="12">
        <f>IF(B10="","",B10-B9)</f>
        <v/>
      </c>
      <c r="D10" s="11" t="n">
        <v>1130</v>
      </c>
      <c r="E10" s="12">
        <f>IF(D10="","",D10-B9)</f>
        <v/>
      </c>
      <c r="F10" s="13" t="n"/>
      <c r="G10" s="13" t="n"/>
      <c r="H10" s="14" t="n"/>
      <c r="I10" s="13" t="n">
        <v>88005</v>
      </c>
      <c r="J10" s="13" t="n">
        <v>-589694</v>
      </c>
      <c r="K10" s="14" t="n">
        <v>-501689</v>
      </c>
      <c r="L10" s="13" t="n"/>
    </row>
    <row r="11">
      <c r="A11" s="2" t="inlineStr">
        <is>
          <t>2017Q3</t>
        </is>
      </c>
      <c r="B11" s="11" t="n">
        <v>1146</v>
      </c>
      <c r="C11" s="12">
        <f>IF(B11="","",B11-B10)</f>
        <v/>
      </c>
      <c r="D11" s="11" t="n">
        <v>1132</v>
      </c>
      <c r="E11" s="12">
        <f>IF(D11="","",D11-B10)</f>
        <v/>
      </c>
      <c r="F11" s="13" t="n"/>
      <c r="G11" s="13" t="n"/>
      <c r="H11" s="14" t="n"/>
      <c r="I11" s="13" t="n">
        <v>246</v>
      </c>
      <c r="J11" s="13" t="n">
        <v>125382</v>
      </c>
      <c r="K11" s="14" t="n">
        <v>125628</v>
      </c>
      <c r="L11" s="13" t="n"/>
    </row>
    <row r="12">
      <c r="A12" s="2" t="inlineStr">
        <is>
          <t>2017Q4</t>
        </is>
      </c>
      <c r="B12" s="11" t="n">
        <v>1071</v>
      </c>
      <c r="C12" s="12">
        <f>IF(B12="","",B12-B11)</f>
        <v/>
      </c>
      <c r="D12" s="11" t="n">
        <v>1092</v>
      </c>
      <c r="E12" s="12">
        <f>IF(D12="","",D12-B11)</f>
        <v/>
      </c>
      <c r="F12" s="13" t="n"/>
      <c r="G12" s="13" t="n"/>
      <c r="H12" s="14" t="n"/>
      <c r="I12" s="13" t="n">
        <v>-96030</v>
      </c>
      <c r="J12" s="13" t="n">
        <v>443336</v>
      </c>
      <c r="K12" s="14" t="n">
        <v>347306</v>
      </c>
      <c r="L12" s="13" t="n"/>
    </row>
    <row r="13">
      <c r="A13" s="2" t="inlineStr">
        <is>
          <t>2018Q1</t>
        </is>
      </c>
      <c r="B13" s="11" t="n">
        <v>1064</v>
      </c>
      <c r="C13" s="12">
        <f>IF(B13="","",B13-B12)</f>
        <v/>
      </c>
      <c r="D13" s="11" t="n">
        <v>1072</v>
      </c>
      <c r="E13" s="12">
        <f>IF(D13="","",D13-B12)</f>
        <v/>
      </c>
      <c r="F13" s="13" t="n"/>
      <c r="G13" s="13" t="n"/>
      <c r="H13" s="14" t="n"/>
      <c r="I13" s="13" t="n">
        <v>-49605</v>
      </c>
      <c r="J13" s="13" t="n">
        <v>35517</v>
      </c>
      <c r="K13" s="14" t="n">
        <v>-14088</v>
      </c>
      <c r="L13" s="13" t="n"/>
    </row>
    <row r="14">
      <c r="A14" s="2" t="inlineStr">
        <is>
          <t>2018Q2</t>
        </is>
      </c>
      <c r="B14" s="11" t="n">
        <v>1115</v>
      </c>
      <c r="C14" s="12">
        <f>IF(B14="","",B14-B13)</f>
        <v/>
      </c>
      <c r="D14" s="11" t="n">
        <v>1079</v>
      </c>
      <c r="E14" s="12">
        <f>IF(D14="","",D14-B13)</f>
        <v/>
      </c>
      <c r="F14" s="13" t="n"/>
      <c r="G14" s="13" t="n"/>
      <c r="H14" s="14" t="n"/>
      <c r="I14" s="13" t="n">
        <v>129419</v>
      </c>
      <c r="J14" s="13" t="n">
        <v>-188087</v>
      </c>
      <c r="K14" s="14" t="n">
        <v>-58668</v>
      </c>
      <c r="L14" s="13" t="n"/>
    </row>
    <row r="15">
      <c r="A15" s="2" t="inlineStr">
        <is>
          <t>2018Q3</t>
        </is>
      </c>
      <c r="B15" s="11" t="n">
        <v>1109</v>
      </c>
      <c r="C15" s="12">
        <f>IF(B15="","",B15-B14)</f>
        <v/>
      </c>
      <c r="D15" s="11" t="n">
        <v>1121</v>
      </c>
      <c r="E15" s="12">
        <f>IF(D15="","",D15-B14)</f>
        <v/>
      </c>
      <c r="F15" s="13" t="n"/>
      <c r="G15" s="13" t="n"/>
      <c r="H15" s="14" t="n"/>
      <c r="I15" s="13" t="n">
        <v>-69690</v>
      </c>
      <c r="J15" s="13" t="n">
        <v>148754</v>
      </c>
      <c r="K15" s="14" t="n">
        <v>79064</v>
      </c>
      <c r="L15" s="13" t="n"/>
    </row>
    <row r="16">
      <c r="A16" s="2" t="inlineStr">
        <is>
          <t>2018Q4</t>
        </is>
      </c>
      <c r="B16" s="11" t="n">
        <v>1116</v>
      </c>
      <c r="C16" s="12">
        <f>IF(B16="","",B16-B15)</f>
        <v/>
      </c>
      <c r="D16" s="11" t="n">
        <v>1128</v>
      </c>
      <c r="E16" s="12">
        <f>IF(D16="","",D16-B15)</f>
        <v/>
      </c>
      <c r="F16" s="13" t="n"/>
      <c r="G16" s="13" t="n"/>
      <c r="H16" s="14" t="n"/>
      <c r="I16" s="13" t="n">
        <v>3556</v>
      </c>
      <c r="J16" s="13" t="n">
        <v>-157880</v>
      </c>
      <c r="K16" s="14" t="n">
        <v>-154324</v>
      </c>
      <c r="L16" s="13" t="n"/>
    </row>
    <row r="17">
      <c r="A17" s="2" t="inlineStr">
        <is>
          <t>2019Q1</t>
        </is>
      </c>
      <c r="B17" s="11" t="n">
        <v>1135</v>
      </c>
      <c r="C17" s="12">
        <f>IF(B17="","",B17-B16)</f>
        <v/>
      </c>
      <c r="D17" s="11" t="n">
        <v>1125</v>
      </c>
      <c r="E17" s="12">
        <f>IF(D17="","",D17-B16)</f>
        <v/>
      </c>
      <c r="F17" s="13" t="n"/>
      <c r="G17" s="13" t="n"/>
      <c r="H17" s="14" t="n"/>
      <c r="I17" s="13" t="n">
        <v>40363</v>
      </c>
      <c r="J17" s="13" t="n">
        <v>-64152</v>
      </c>
      <c r="K17" s="14" t="n">
        <v>-23789</v>
      </c>
      <c r="L17" s="13" t="n"/>
    </row>
    <row r="18">
      <c r="A18" s="2" t="inlineStr">
        <is>
          <t>2019Q2</t>
        </is>
      </c>
      <c r="B18" s="11" t="n">
        <v>1155</v>
      </c>
      <c r="C18" s="12">
        <f>IF(B18="","",B18-B17)</f>
        <v/>
      </c>
      <c r="D18" s="11" t="n">
        <v>1166</v>
      </c>
      <c r="E18" s="12">
        <f>IF(D18="","",D18-B17)</f>
        <v/>
      </c>
      <c r="F18" s="13" t="n"/>
      <c r="G18" s="13" t="n"/>
      <c r="H18" s="14" t="n"/>
      <c r="I18" s="13" t="n">
        <v>-21886</v>
      </c>
      <c r="J18" s="13" t="n">
        <v>-51523</v>
      </c>
      <c r="K18" s="14" t="n">
        <v>-73409</v>
      </c>
      <c r="L18" s="13" t="n"/>
    </row>
    <row r="19">
      <c r="A19" s="2" t="inlineStr">
        <is>
          <t>2019Q3</t>
        </is>
      </c>
      <c r="B19" s="11" t="n">
        <v>1196</v>
      </c>
      <c r="C19" s="12">
        <f>IF(B19="","",B19-B18)</f>
        <v/>
      </c>
      <c r="D19" s="11" t="n">
        <v>1194</v>
      </c>
      <c r="E19" s="12">
        <f>IF(D19="","",D19-B18)</f>
        <v/>
      </c>
      <c r="F19" s="13" t="n"/>
      <c r="G19" s="13" t="n"/>
      <c r="H19" s="14" t="n"/>
      <c r="I19" s="13" t="n">
        <v>-14614</v>
      </c>
      <c r="J19" s="13" t="n">
        <v>-94757</v>
      </c>
      <c r="K19" s="14" t="n">
        <v>-109371</v>
      </c>
      <c r="L19" s="13" t="n"/>
    </row>
    <row r="20">
      <c r="A20" s="2" t="inlineStr">
        <is>
          <t>2019Q4</t>
        </is>
      </c>
      <c r="B20" s="11" t="n">
        <v>1156</v>
      </c>
      <c r="C20" s="12">
        <f>IF(B20="","",B20-B19)</f>
        <v/>
      </c>
      <c r="D20" s="11" t="n">
        <v>1176</v>
      </c>
      <c r="E20" s="12">
        <f>IF(D20="","",D20-B19)</f>
        <v/>
      </c>
      <c r="F20" s="13" t="n"/>
      <c r="G20" s="13" t="n"/>
      <c r="H20" s="14" t="n"/>
      <c r="I20" s="13" t="n">
        <v>93795</v>
      </c>
      <c r="J20" s="13" t="n">
        <v>-102760</v>
      </c>
      <c r="K20" s="14" t="n">
        <v>-8965</v>
      </c>
      <c r="L20" s="13" t="n"/>
    </row>
    <row r="21">
      <c r="A21" s="2" t="inlineStr">
        <is>
          <t>2020Q1</t>
        </is>
      </c>
      <c r="B21" s="11" t="n">
        <v>1217</v>
      </c>
      <c r="C21" s="12">
        <f>IF(B21="","",B21-B20)</f>
        <v/>
      </c>
      <c r="D21" s="11" t="n">
        <v>1194</v>
      </c>
      <c r="E21" s="12">
        <f>IF(D21="","",D21-B20)</f>
        <v/>
      </c>
      <c r="F21" s="13" t="n"/>
      <c r="G21" s="13" t="n"/>
      <c r="H21" s="14" t="n"/>
      <c r="I21" s="13" t="n">
        <v>24373</v>
      </c>
      <c r="J21" s="13" t="n">
        <v>-202795</v>
      </c>
      <c r="K21" s="14" t="n">
        <v>-178422</v>
      </c>
      <c r="L21" s="13" t="n"/>
    </row>
    <row r="22">
      <c r="A22" s="2" t="inlineStr">
        <is>
          <t>2020Q2</t>
        </is>
      </c>
      <c r="B22" s="11" t="n">
        <v>1203</v>
      </c>
      <c r="C22" s="12">
        <f>IF(B22="","",B22-B21)</f>
        <v/>
      </c>
      <c r="D22" s="11" t="n">
        <v>1221</v>
      </c>
      <c r="E22" s="12">
        <f>IF(D22="","",D22-B21)</f>
        <v/>
      </c>
      <c r="F22" s="13" t="n"/>
      <c r="G22" s="13" t="n"/>
      <c r="H22" s="14" t="n"/>
      <c r="I22" s="13" t="n">
        <v>3314</v>
      </c>
      <c r="J22" s="13" t="n">
        <v>11509</v>
      </c>
      <c r="K22" s="14" t="n">
        <v>14823</v>
      </c>
      <c r="L22" s="13" t="n"/>
    </row>
    <row r="23">
      <c r="A23" s="2" t="inlineStr">
        <is>
          <t>2020Q3</t>
        </is>
      </c>
      <c r="B23" s="11" t="n">
        <v>1170</v>
      </c>
      <c r="C23" s="12">
        <f>IF(B23="","",B23-B22)</f>
        <v/>
      </c>
      <c r="D23" s="11" t="n">
        <v>1188</v>
      </c>
      <c r="E23" s="12">
        <f>IF(D23="","",D23-B22)</f>
        <v/>
      </c>
      <c r="F23" s="13" t="n"/>
      <c r="G23" s="13" t="n"/>
      <c r="H23" s="14" t="n"/>
      <c r="I23" s="13" t="n">
        <v>14372</v>
      </c>
      <c r="J23" s="13" t="n">
        <v>84093</v>
      </c>
      <c r="K23" s="14" t="n">
        <v>98465</v>
      </c>
      <c r="L23" s="13" t="n"/>
    </row>
    <row r="24">
      <c r="A24" s="2" t="inlineStr">
        <is>
          <t>2020Q4</t>
        </is>
      </c>
      <c r="B24" s="11" t="n">
        <v>1086</v>
      </c>
      <c r="C24" s="12">
        <f>IF(B24="","",B24-B23)</f>
        <v/>
      </c>
      <c r="D24" s="11" t="n">
        <v>1118</v>
      </c>
      <c r="E24" s="12">
        <f>IF(D24="","",D24-B23)</f>
        <v/>
      </c>
      <c r="F24" s="13" t="n"/>
      <c r="G24" s="13" t="n"/>
      <c r="H24" s="14" t="n"/>
      <c r="I24" s="13" t="n">
        <v>17507</v>
      </c>
      <c r="J24" s="13" t="n">
        <v>230235</v>
      </c>
      <c r="K24" s="14" t="n">
        <v>247742</v>
      </c>
      <c r="L24" s="13" t="n"/>
    </row>
    <row r="25">
      <c r="A25" s="2" t="inlineStr">
        <is>
          <t>2021Q1</t>
        </is>
      </c>
      <c r="B25" s="11" t="n">
        <v>1132</v>
      </c>
      <c r="C25" s="12">
        <f>IF(B25="","",B25-B24)</f>
        <v/>
      </c>
      <c r="D25" s="11" t="n">
        <v>1114</v>
      </c>
      <c r="E25" s="12">
        <f>IF(D25="","",D25-B24)</f>
        <v/>
      </c>
      <c r="F25" s="13" t="n"/>
      <c r="G25" s="13" t="n"/>
      <c r="H25" s="14" t="n"/>
      <c r="I25" s="13" t="n">
        <v>31846</v>
      </c>
      <c r="J25" s="13" t="n">
        <v>-130423</v>
      </c>
      <c r="K25" s="14" t="n">
        <v>-98577</v>
      </c>
      <c r="L25" s="13" t="n"/>
    </row>
    <row r="26">
      <c r="A26" s="2" t="inlineStr">
        <is>
          <t>2021Q2</t>
        </is>
      </c>
      <c r="B26" s="11" t="n">
        <v>1126</v>
      </c>
      <c r="C26" s="12">
        <f>IF(B26="","",B26-B25)</f>
        <v/>
      </c>
      <c r="D26" s="11" t="n">
        <v>1121</v>
      </c>
      <c r="E26" s="12">
        <f>IF(D26="","",D26-B25)</f>
        <v/>
      </c>
      <c r="F26" s="13" t="n"/>
      <c r="G26" s="13" t="n"/>
      <c r="H26" s="14" t="n"/>
      <c r="I26" s="13" t="n">
        <v>-5744</v>
      </c>
      <c r="J26" s="13" t="n">
        <v>-4128</v>
      </c>
      <c r="K26" s="14" t="n">
        <v>-9872</v>
      </c>
      <c r="L26" s="13" t="n"/>
    </row>
    <row r="27">
      <c r="A27" s="2" t="inlineStr">
        <is>
          <t>2021Q3</t>
        </is>
      </c>
      <c r="B27" s="11" t="n">
        <v>1184</v>
      </c>
      <c r="C27" s="12">
        <f>IF(B27="","",B27-B26)</f>
        <v/>
      </c>
      <c r="D27" s="11" t="n">
        <v>1157</v>
      </c>
      <c r="E27" s="12">
        <f>IF(D27="","",D27-B26)</f>
        <v/>
      </c>
      <c r="F27" s="13" t="n"/>
      <c r="G27" s="13" t="n"/>
      <c r="H27" s="14" t="n"/>
      <c r="I27" s="13" t="n">
        <v>-9317</v>
      </c>
      <c r="J27" s="13" t="n">
        <v>-261575</v>
      </c>
      <c r="K27" s="14" t="n">
        <v>-270892</v>
      </c>
      <c r="L27" s="13" t="n"/>
    </row>
    <row r="28">
      <c r="A28" s="2" t="inlineStr">
        <is>
          <t>2021Q4</t>
        </is>
      </c>
      <c r="B28" s="11" t="n">
        <v>1189</v>
      </c>
      <c r="C28" s="12">
        <f>IF(B28="","",B28-B27)</f>
        <v/>
      </c>
      <c r="D28" s="11" t="n">
        <v>1183</v>
      </c>
      <c r="E28" s="12">
        <f>IF(D28="","",D28-B27)</f>
        <v/>
      </c>
      <c r="F28" s="13" t="n"/>
      <c r="G28" s="13" t="n"/>
      <c r="H28" s="14" t="n"/>
      <c r="I28" s="13" t="n">
        <v>-16184</v>
      </c>
      <c r="J28" s="13" t="n">
        <v>-22234</v>
      </c>
      <c r="K28" s="14" t="n">
        <v>-38418</v>
      </c>
      <c r="L28" s="13" t="n"/>
    </row>
    <row r="29">
      <c r="A29" s="2" t="inlineStr">
        <is>
          <t>2022Q1</t>
        </is>
      </c>
      <c r="B29" s="11" t="n">
        <v>1212</v>
      </c>
      <c r="C29" s="12">
        <f>IF(B29="","",B29-B28)</f>
        <v/>
      </c>
      <c r="D29" s="11" t="n">
        <v>1205</v>
      </c>
      <c r="E29" s="12">
        <f>IF(D29="","",D29-B28)</f>
        <v/>
      </c>
      <c r="F29" s="13" t="n"/>
      <c r="G29" s="13" t="n"/>
      <c r="H29" s="14" t="n"/>
      <c r="I29" s="13" t="n">
        <v>4979</v>
      </c>
      <c r="J29" s="13" t="n">
        <v>-72336</v>
      </c>
      <c r="K29" s="14" t="n">
        <v>-67357</v>
      </c>
      <c r="L29" s="13" t="n"/>
    </row>
    <row r="30">
      <c r="A30" s="2" t="inlineStr">
        <is>
          <t>2022Q2</t>
        </is>
      </c>
      <c r="B30" s="11" t="n">
        <v>1292</v>
      </c>
      <c r="C30" s="12">
        <f>IF(B30="","",B30-B29)</f>
        <v/>
      </c>
      <c r="D30" s="11" t="n">
        <v>1260</v>
      </c>
      <c r="E30" s="12">
        <f>IF(D30="","",D30-B29)</f>
        <v/>
      </c>
      <c r="F30" s="13" t="n"/>
      <c r="G30" s="13" t="n"/>
      <c r="H30" s="14" t="n"/>
      <c r="I30" s="13" t="n">
        <v>-51561</v>
      </c>
      <c r="J30" s="13" t="n">
        <v>-508806</v>
      </c>
      <c r="K30" s="14" t="n">
        <v>-560367</v>
      </c>
      <c r="L30" s="13" t="n"/>
    </row>
    <row r="31">
      <c r="A31" s="2" t="inlineStr">
        <is>
          <t>2022Q3</t>
        </is>
      </c>
      <c r="B31" s="11" t="n">
        <v>1431</v>
      </c>
      <c r="C31" s="12">
        <f>IF(B31="","",B31-B30)</f>
        <v/>
      </c>
      <c r="D31" s="11" t="n">
        <v>1338</v>
      </c>
      <c r="E31" s="12">
        <f>IF(D31="","",D31-B30)</f>
        <v/>
      </c>
      <c r="F31" s="13" t="n"/>
      <c r="G31" s="13" t="n"/>
      <c r="H31" s="14" t="n"/>
      <c r="I31" s="13" t="n">
        <v>-102218</v>
      </c>
      <c r="J31" s="13" t="n">
        <v>-753611</v>
      </c>
      <c r="K31" s="14" t="n">
        <v>-855829</v>
      </c>
      <c r="L31" s="13" t="n"/>
    </row>
    <row r="32">
      <c r="A32" s="2" t="inlineStr">
        <is>
          <t>2022Q4</t>
        </is>
      </c>
      <c r="B32" s="11" t="n">
        <v>1265</v>
      </c>
      <c r="C32" s="12">
        <f>IF(B32="","",B32-B31)</f>
        <v/>
      </c>
      <c r="D32" s="11" t="n">
        <v>1359</v>
      </c>
      <c r="E32" s="12">
        <f>IF(D32="","",D32-B31)</f>
        <v/>
      </c>
      <c r="F32" s="13" t="n"/>
      <c r="G32" s="13" t="n"/>
      <c r="H32" s="14" t="n"/>
      <c r="I32" s="13" t="n">
        <v>96540</v>
      </c>
      <c r="J32" s="13" t="n">
        <v>855971</v>
      </c>
      <c r="K32" s="14" t="n">
        <v>952511</v>
      </c>
      <c r="L32" s="13" t="n"/>
    </row>
    <row r="33">
      <c r="A33" s="2" t="inlineStr">
        <is>
          <t>2023Q1</t>
        </is>
      </c>
      <c r="B33" s="11" t="n">
        <v>1302</v>
      </c>
      <c r="C33" s="12">
        <f>IF(B33="","",B33-B32)</f>
        <v/>
      </c>
      <c r="D33" s="11" t="n">
        <v>1276</v>
      </c>
      <c r="E33" s="12">
        <f>IF(D33="","",D33-B32)</f>
        <v/>
      </c>
      <c r="F33" s="13">
        <f>IF(C33="","",($B$3*C33+$D$3*E33)*1000)</f>
        <v/>
      </c>
      <c r="G33" s="13">
        <f>IF(C33="","",(-$F$3*C33+$H$3*E33)*1000)</f>
        <v/>
      </c>
      <c r="H33" s="14">
        <f>IF(F33="","",F33+G33)</f>
        <v/>
      </c>
      <c r="I33" s="13" t="n">
        <v>-8342</v>
      </c>
      <c r="J33" s="13" t="n">
        <v>-215819</v>
      </c>
      <c r="K33" s="14" t="n">
        <v>-224161</v>
      </c>
      <c r="L33" s="13">
        <f>IF(H33="","",K33-H33)</f>
        <v/>
      </c>
    </row>
    <row r="34">
      <c r="A34" s="2" t="inlineStr">
        <is>
          <t>2023Q2</t>
        </is>
      </c>
      <c r="B34" s="11" t="n">
        <v>1318</v>
      </c>
      <c r="C34" s="12">
        <f>IF(B34="","",B34-B33)</f>
        <v/>
      </c>
      <c r="D34" s="11" t="n">
        <v>1315</v>
      </c>
      <c r="E34" s="12">
        <f>IF(D34="","",D34-B33)</f>
        <v/>
      </c>
      <c r="F34" s="13">
        <f>IF(C34="","",($B$3*C34+$D$3*E34)*1000)</f>
        <v/>
      </c>
      <c r="G34" s="13">
        <f>IF(C34="","",(-$F$3*C34+$H$3*E34)*1000)</f>
        <v/>
      </c>
      <c r="H34" s="14">
        <f>IF(F34="","",F34+G34)</f>
        <v/>
      </c>
      <c r="I34" s="13" t="n">
        <v>-26820</v>
      </c>
      <c r="J34" s="13" t="n">
        <v>-106445</v>
      </c>
      <c r="K34" s="14" t="n">
        <v>-133265</v>
      </c>
      <c r="L34" s="13">
        <f>IF(H34="","",K34-H34)</f>
        <v/>
      </c>
    </row>
    <row r="35">
      <c r="A35" s="2" t="inlineStr">
        <is>
          <t>2023Q3</t>
        </is>
      </c>
      <c r="B35" s="11" t="n">
        <v>1349</v>
      </c>
      <c r="C35" s="12">
        <f>IF(B35="","",B35-B34)</f>
        <v/>
      </c>
      <c r="D35" s="11" t="n">
        <v>1311</v>
      </c>
      <c r="E35" s="12">
        <f>IF(D35="","",D35-B34)</f>
        <v/>
      </c>
      <c r="F35" s="13">
        <f>IF(C35="","",($B$3*C35+$D$3*E35)*1000)</f>
        <v/>
      </c>
      <c r="G35" s="13">
        <f>IF(C35="","",(-$F$3*C35+$H$3*E35)*1000)</f>
        <v/>
      </c>
      <c r="H35" s="14">
        <f>IF(F35="","",F35+G35)</f>
        <v/>
      </c>
      <c r="I35" s="13" t="n">
        <v>75659</v>
      </c>
      <c r="J35" s="13" t="n">
        <v>148945</v>
      </c>
      <c r="K35" s="14" t="n">
        <v>224604</v>
      </c>
      <c r="L35" s="13">
        <f>IF(H35="","",K35-H35)</f>
        <v/>
      </c>
    </row>
    <row r="36">
      <c r="A36" s="2" t="inlineStr">
        <is>
          <t>2023Q4</t>
        </is>
      </c>
      <c r="B36" s="11" t="n">
        <v>1289</v>
      </c>
      <c r="C36" s="12">
        <f>IF(B36="","",B36-B35)</f>
        <v/>
      </c>
      <c r="D36" s="11" t="n">
        <v>1321</v>
      </c>
      <c r="E36" s="12">
        <f>IF(D36="","",D36-B35)</f>
        <v/>
      </c>
      <c r="F36" s="13">
        <f>IF(C36="","",($B$3*C36+$D$3*E36)*1000)</f>
        <v/>
      </c>
      <c r="G36" s="13">
        <f>IF(C36="","",(-$F$3*C36+$H$3*E36)*1000)</f>
        <v/>
      </c>
      <c r="H36" s="14">
        <f>IF(F36="","",F36+G36)</f>
        <v/>
      </c>
      <c r="I36" s="13" t="n">
        <v>-24063</v>
      </c>
      <c r="J36" s="13" t="n">
        <v>-155884</v>
      </c>
      <c r="K36" s="14" t="n">
        <v>-179947</v>
      </c>
      <c r="L36" s="13">
        <f>IF(H36="","",K36-H36)</f>
        <v/>
      </c>
    </row>
    <row r="37">
      <c r="A37" s="2" t="inlineStr">
        <is>
          <t>2024Q1</t>
        </is>
      </c>
      <c r="B37" s="11" t="n">
        <v>1347</v>
      </c>
      <c r="C37" s="12">
        <f>IF(B37="","",B37-B36)</f>
        <v/>
      </c>
      <c r="D37" s="11" t="n">
        <v>1329</v>
      </c>
      <c r="E37" s="12">
        <f>IF(D37="","",D37-B36)</f>
        <v/>
      </c>
      <c r="F37" s="13">
        <f>IF(C37="","",($B$3*C37+$D$3*E37)*1000)</f>
        <v/>
      </c>
      <c r="G37" s="13">
        <f>IF(C37="","",(-$F$3*C37+$H$3*E37)*1000)</f>
        <v/>
      </c>
      <c r="H37" s="14">
        <f>IF(F37="","",F37+G37)</f>
        <v/>
      </c>
      <c r="I37" s="13" t="n">
        <v>54583</v>
      </c>
      <c r="J37" s="13" t="n">
        <v>-212984</v>
      </c>
      <c r="K37" s="14" t="n">
        <v>-158401</v>
      </c>
      <c r="L37" s="13">
        <f>IF(H37="","",K37-H37)</f>
        <v/>
      </c>
    </row>
    <row r="38">
      <c r="A38" s="2" t="inlineStr">
        <is>
          <t>2024Q2</t>
        </is>
      </c>
      <c r="B38" s="11" t="n">
        <v>1377</v>
      </c>
      <c r="C38" s="12">
        <f>IF(B38="","",B38-B37)</f>
        <v/>
      </c>
      <c r="D38" s="11" t="n">
        <v>1371</v>
      </c>
      <c r="E38" s="12">
        <f>IF(D38="","",D38-B37)</f>
        <v/>
      </c>
      <c r="F38" s="13">
        <f>IF(C38="","",($B$3*C38+$D$3*E38)*1000)</f>
        <v/>
      </c>
      <c r="G38" s="13">
        <f>IF(C38="","",(-$F$3*C38+$H$3*E38)*1000)</f>
        <v/>
      </c>
      <c r="H38" s="14">
        <f>IF(F38="","",F38+G38)</f>
        <v/>
      </c>
      <c r="I38" s="13" t="n">
        <v>34557</v>
      </c>
      <c r="J38" s="13" t="n">
        <v>-113338</v>
      </c>
      <c r="K38" s="14" t="n">
        <v>-78781</v>
      </c>
      <c r="L38" s="13">
        <f>IF(H38="","",K38-H38)</f>
        <v/>
      </c>
    </row>
    <row r="39">
      <c r="A39" s="2" t="inlineStr">
        <is>
          <t>2024Q3</t>
        </is>
      </c>
      <c r="B39" s="11" t="n">
        <v>1308</v>
      </c>
      <c r="C39" s="12">
        <f>IF(B39="","",B39-B38)</f>
        <v/>
      </c>
      <c r="D39" s="11" t="n">
        <v>1359</v>
      </c>
      <c r="E39" s="12">
        <f>IF(D39="","",D39-B38)</f>
        <v/>
      </c>
      <c r="F39" s="13">
        <f>IF(C39="","",($B$3*C39+$D$3*E39)*1000)</f>
        <v/>
      </c>
      <c r="G39" s="13">
        <f>IF(C39="","",(-$F$3*C39+$H$3*E39)*1000)</f>
        <v/>
      </c>
      <c r="H39" s="14">
        <f>IF(F39="","",F39+G39)</f>
        <v/>
      </c>
      <c r="I39" s="13" t="n">
        <v>-79842</v>
      </c>
      <c r="J39" s="13" t="n">
        <v>123069</v>
      </c>
      <c r="K39" s="14" t="n">
        <v>43227</v>
      </c>
      <c r="L39" s="13">
        <f>IF(H39="","",K39-H39)</f>
        <v/>
      </c>
    </row>
    <row r="40">
      <c r="A40" s="2" t="inlineStr">
        <is>
          <t>2024Q4</t>
        </is>
      </c>
      <c r="B40" s="11" t="n">
        <v>1472</v>
      </c>
      <c r="C40" s="12">
        <f>IF(B40="","",B40-B39)</f>
        <v/>
      </c>
      <c r="D40" s="11" t="n">
        <v>1398</v>
      </c>
      <c r="E40" s="12">
        <f>IF(D40="","",D40-B39)</f>
        <v/>
      </c>
      <c r="F40" s="13">
        <f>IF(C40="","",($B$3*C40+$D$3*E40)*1000)</f>
        <v/>
      </c>
      <c r="G40" s="13">
        <f>IF(C40="","",(-$F$3*C40+$H$3*E40)*1000)</f>
        <v/>
      </c>
      <c r="H40" s="14">
        <f>IF(F40="","",F40+G40)</f>
        <v/>
      </c>
      <c r="I40" s="13" t="n">
        <v>124659</v>
      </c>
      <c r="J40" s="13" t="n">
        <v>-298189</v>
      </c>
      <c r="K40" s="14" t="n">
        <v>-173530</v>
      </c>
      <c r="L40" s="13">
        <f>IF(H40="","",K40-H40)</f>
        <v/>
      </c>
    </row>
    <row r="41">
      <c r="A41" s="2" t="inlineStr">
        <is>
          <t>2025Q1</t>
        </is>
      </c>
      <c r="B41" s="15" t="n"/>
      <c r="C41" s="12">
        <f>IF(B41="","",B41-B40)</f>
        <v/>
      </c>
      <c r="D41" s="15" t="n"/>
      <c r="E41" s="12">
        <f>IF(D41="","",D41-B40)</f>
        <v/>
      </c>
      <c r="F41" s="13">
        <f>IF(C41="","",($B$3*C41+$D$3*E41)*1000)</f>
        <v/>
      </c>
      <c r="G41" s="13">
        <f>IF(C41="","",(-$F$3*C41+$H$3*E41)*1000)</f>
        <v/>
      </c>
      <c r="H41" s="14">
        <f>IF(F41="","",F41+G41)</f>
        <v/>
      </c>
      <c r="I41" s="13" t="n">
        <v>3407</v>
      </c>
      <c r="J41" s="13" t="n">
        <v>-14015</v>
      </c>
      <c r="K41" s="14" t="n">
        <v>-10608</v>
      </c>
      <c r="L41" s="13">
        <f>IF(H41="","",K41-H41)</f>
        <v/>
      </c>
    </row>
    <row r="42">
      <c r="A42" s="2" t="inlineStr">
        <is>
          <t>2025Q2</t>
        </is>
      </c>
      <c r="B42" s="15" t="n"/>
      <c r="C42" s="12">
        <f>IF(B42="","",B42-B41)</f>
        <v/>
      </c>
      <c r="D42" s="15" t="n"/>
      <c r="E42" s="12">
        <f>IF(D42="","",D42-B41)</f>
        <v/>
      </c>
      <c r="F42" s="13">
        <f>IF(C42="","",($B$3*C42+$D$3*E42)*1000)</f>
        <v/>
      </c>
      <c r="G42" s="13">
        <f>IF(C42="","",(-$F$3*C42+$H$3*E42)*1000)</f>
        <v/>
      </c>
      <c r="H42" s="14">
        <f>IF(F42="","",F42+G42)</f>
        <v/>
      </c>
      <c r="I42" s="13" t="n">
        <v>-269399</v>
      </c>
      <c r="J42" s="13" t="n">
        <v>186934</v>
      </c>
      <c r="K42" s="14" t="n">
        <v>-82465</v>
      </c>
      <c r="L42" s="13">
        <f>IF(H42="","",K42-H42)</f>
        <v/>
      </c>
    </row>
    <row r="43">
      <c r="A43" s="2" t="inlineStr">
        <is>
          <t>2025Q3</t>
        </is>
      </c>
      <c r="B43" s="15" t="n"/>
      <c r="C43" s="12">
        <f>IF(B43="","",B43-B42)</f>
        <v/>
      </c>
      <c r="D43" s="15" t="n"/>
      <c r="E43" s="12">
        <f>IF(D43="","",D43-B42)</f>
        <v/>
      </c>
      <c r="F43" s="13">
        <f>IF(C43="","",($B$3*C43+$D$3*E43)*1000)</f>
        <v/>
      </c>
      <c r="G43" s="13">
        <f>IF(C43="","",(-$F$3*C43+$H$3*E43)*1000)</f>
        <v/>
      </c>
      <c r="H43" s="14">
        <f>IF(F43="","",F43+G43)</f>
        <v/>
      </c>
      <c r="I43" s="13" t="n">
        <v>115572</v>
      </c>
      <c r="J43" s="13" t="n">
        <v>-86924</v>
      </c>
      <c r="K43" s="14" t="n">
        <v>28648</v>
      </c>
      <c r="L43" s="13">
        <f>IF(H43="","",K43-H43)</f>
        <v/>
      </c>
    </row>
    <row r="44">
      <c r="A44" s="2" t="inlineStr">
        <is>
          <t>2025Q4</t>
        </is>
      </c>
      <c r="B44" s="15" t="n"/>
      <c r="C44" s="12">
        <f>IF(B44="","",B44-B43)</f>
        <v/>
      </c>
      <c r="D44" s="15" t="n"/>
      <c r="E44" s="12">
        <f>IF(D44="","",D44-B43)</f>
        <v/>
      </c>
      <c r="F44" s="13">
        <f>IF(C44="","",($B$3*C44+$D$3*E44)*1000)</f>
        <v/>
      </c>
      <c r="G44" s="13">
        <f>IF(C44="","",(-$F$3*C44+$H$3*E44)*1000)</f>
        <v/>
      </c>
      <c r="H44" s="14">
        <f>IF(F44="","",F44+G44)</f>
        <v/>
      </c>
      <c r="I44" s="13" t="n">
        <v>78469</v>
      </c>
      <c r="J44" s="13" t="n">
        <v>-18854</v>
      </c>
      <c r="K44" s="14" t="n">
        <v>59615</v>
      </c>
      <c r="L44" s="13">
        <f>IF(H44="","",K44-H44)</f>
        <v/>
      </c>
    </row>
    <row r="45">
      <c r="A45" s="2" t="inlineStr">
        <is>
          <t>2026Q1</t>
        </is>
      </c>
      <c r="B45" s="15" t="n"/>
      <c r="C45" s="12">
        <f>IF(B45="","",B45-B44)</f>
        <v/>
      </c>
      <c r="D45" s="15" t="n"/>
      <c r="E45" s="12">
        <f>IF(D45="","",D45-B44)</f>
        <v/>
      </c>
      <c r="F45" s="13">
        <f>IF(C45="","",($B$3*C45+$D$3*E45)*1000)</f>
        <v/>
      </c>
      <c r="G45" s="13">
        <f>IF(C45="","",(-$F$3*C45+$H$3*E45)*1000)</f>
        <v/>
      </c>
      <c r="H45" s="14">
        <f>IF(F45="","",F45+G45)</f>
        <v/>
      </c>
      <c r="I45" s="13" t="n">
        <v>183192</v>
      </c>
      <c r="J45" s="13" t="n">
        <v>-165538</v>
      </c>
      <c r="K45" s="14" t="n">
        <v>17654</v>
      </c>
      <c r="L45" s="13">
        <f>IF(H45="","",K45-H45)</f>
        <v/>
      </c>
    </row>
    <row r="46">
      <c r="A46" s="2" t="inlineStr">
        <is>
          <t>2026Q2</t>
        </is>
      </c>
      <c r="B46" s="15" t="n"/>
      <c r="C46" s="12">
        <f>IF(B46="","",B46-B45)</f>
        <v/>
      </c>
      <c r="D46" s="15" t="n"/>
      <c r="E46" s="12">
        <f>IF(D46="","",D46-B45)</f>
        <v/>
      </c>
      <c r="F46" s="13">
        <f>IF(C46="","",($B$3*C46+$D$3*E46)*1000)</f>
        <v/>
      </c>
      <c r="G46" s="13">
        <f>IF(C46="","",(-$F$3*C46+$H$3*E46)*1000)</f>
        <v/>
      </c>
      <c r="H46" s="14">
        <f>IF(F46="","",F46+G46)</f>
        <v/>
      </c>
      <c r="I46" s="13" t="n">
        <v>39937</v>
      </c>
      <c r="J46" s="13" t="n">
        <v>-83544</v>
      </c>
      <c r="K46" s="14" t="n">
        <v>-43607</v>
      </c>
      <c r="L46" s="13">
        <f>IF(H46="","",K46-H46)</f>
        <v/>
      </c>
    </row>
    <row r="47">
      <c r="A47" s="2" t="inlineStr">
        <is>
          <t>2026Q3</t>
        </is>
      </c>
      <c r="B47" s="15" t="n"/>
      <c r="C47" s="12">
        <f>IF(B47="","",B47-B46)</f>
        <v/>
      </c>
      <c r="D47" s="15" t="n"/>
      <c r="E47" s="12">
        <f>IF(D47="","",D47-B46)</f>
        <v/>
      </c>
      <c r="F47" s="13">
        <f>IF(C47="","",($B$3*C47+$D$3*E47)*1000)</f>
        <v/>
      </c>
      <c r="G47" s="13">
        <f>IF(C47="","",(-$F$3*C47+$H$3*E47)*1000)</f>
        <v/>
      </c>
      <c r="H47" s="14">
        <f>IF(F47="","",F47+G47)</f>
        <v/>
      </c>
      <c r="I47" s="13" t="n"/>
      <c r="J47" s="13" t="n"/>
      <c r="K47" s="14" t="n"/>
      <c r="L47" s="13" t="n"/>
    </row>
    <row r="48">
      <c r="A48" s="2" t="inlineStr">
        <is>
          <t>2026Q4</t>
        </is>
      </c>
      <c r="B48" s="15" t="n"/>
      <c r="C48" s="12">
        <f>IF(B48="","",B48-B47)</f>
        <v/>
      </c>
      <c r="D48" s="15" t="n"/>
      <c r="E48" s="12">
        <f>IF(D48="","",D48-B47)</f>
        <v/>
      </c>
      <c r="F48" s="13">
        <f>IF(C48="","",($B$3*C48+$D$3*E48)*1000)</f>
        <v/>
      </c>
      <c r="G48" s="13">
        <f>IF(C48="","",(-$F$3*C48+$H$3*E48)*1000)</f>
        <v/>
      </c>
      <c r="H48" s="14">
        <f>IF(F48="","",F48+G48)</f>
        <v/>
      </c>
      <c r="I48" s="13" t="n"/>
      <c r="J48" s="13" t="n"/>
      <c r="K48" s="14" t="n"/>
      <c r="L48" s="13" t="n"/>
    </row>
    <row r="49">
      <c r="A49" s="2" t="inlineStr">
        <is>
          <t>2027Q1</t>
        </is>
      </c>
      <c r="B49" s="15" t="n"/>
      <c r="C49" s="12">
        <f>IF(B49="","",B49-B48)</f>
        <v/>
      </c>
      <c r="D49" s="15" t="n"/>
      <c r="E49" s="12">
        <f>IF(D49="","",D49-B48)</f>
        <v/>
      </c>
      <c r="F49" s="13">
        <f>IF(C49="","",($B$3*C49+$D$3*E49)*1000)</f>
        <v/>
      </c>
      <c r="G49" s="13">
        <f>IF(C49="","",(-$F$3*C49+$H$3*E49)*1000)</f>
        <v/>
      </c>
      <c r="H49" s="14">
        <f>IF(F49="","",F49+G49)</f>
        <v/>
      </c>
      <c r="I49" s="13" t="n"/>
      <c r="J49" s="13" t="n"/>
      <c r="K49" s="14" t="n"/>
      <c r="L49" s="13" t="n"/>
    </row>
    <row r="50">
      <c r="A50" s="2" t="inlineStr">
        <is>
          <t>2027Q2</t>
        </is>
      </c>
      <c r="B50" s="15" t="n"/>
      <c r="C50" s="12">
        <f>IF(B50="","",B50-B49)</f>
        <v/>
      </c>
      <c r="D50" s="15" t="n"/>
      <c r="E50" s="12">
        <f>IF(D50="","",D50-B49)</f>
        <v/>
      </c>
      <c r="F50" s="13">
        <f>IF(C50="","",($B$3*C50+$D$3*E50)*1000)</f>
        <v/>
      </c>
      <c r="G50" s="13">
        <f>IF(C50="","",(-$F$3*C50+$H$3*E50)*1000)</f>
        <v/>
      </c>
      <c r="H50" s="14">
        <f>IF(F50="","",F50+G50)</f>
        <v/>
      </c>
      <c r="I50" s="13" t="n"/>
      <c r="J50" s="13" t="n"/>
      <c r="K50" s="14" t="n"/>
      <c r="L5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2026-09-15T05:47:29Z</dcterms:created>
  <dcterms:modified xsi:type="dcterms:W3CDTF">2026-09-15T05:47:29Z</dcterms:modified>
</cp:coreProperties>
</file>