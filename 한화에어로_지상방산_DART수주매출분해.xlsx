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분기요약" sheetId="1" state="visible" r:id="rId3"/>
    <sheet name="계약별_누적" sheetId="2" state="visible" r:id="rId4"/>
    <sheet name="계약별_분기납품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<sst xmlns="http://schemas.openxmlformats.org/spreadsheetml/2006/main" count="356" uniqueCount="124">
  <si>
    <r>
      <rPr>
        <b val="true"/>
        <sz val="11"/>
        <rFont val="WenQuanYi Zen Hei"/>
        <family val="2"/>
      </rPr>
      <t xml:space="preserve">한화에어로스페이스 지상방산</t>
    </r>
    <r>
      <rPr>
        <b val="true"/>
        <sz val="11"/>
        <rFont val="Arial"/>
        <family val="0"/>
        <charset val="1"/>
      </rPr>
      <t xml:space="preserve">: DART </t>
    </r>
    <r>
      <rPr>
        <b val="true"/>
        <sz val="11"/>
        <rFont val="WenQuanYi Zen Hei"/>
        <family val="2"/>
      </rPr>
      <t xml:space="preserve">수주현황 기반 매출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WenQuanYi Zen Hei"/>
        <family val="2"/>
      </rPr>
      <t xml:space="preserve">수주 분해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단위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십억원</t>
    </r>
    <r>
      <rPr>
        <b val="true"/>
        <sz val="11"/>
        <rFont val="Arial"/>
        <family val="0"/>
        <charset val="1"/>
      </rPr>
      <t xml:space="preserve">)</t>
    </r>
  </si>
  <si>
    <r>
      <rPr>
        <i val="true"/>
        <sz val="9"/>
        <color rgb="FF808080"/>
        <rFont val="WenQuanYi Zen Hei"/>
        <family val="2"/>
      </rPr>
      <t xml:space="preserve">출처</t>
    </r>
    <r>
      <rPr>
        <i val="true"/>
        <sz val="9"/>
        <color rgb="FF808080"/>
        <rFont val="Arial"/>
        <family val="0"/>
        <charset val="1"/>
      </rPr>
      <t xml:space="preserve">: DART </t>
    </r>
    <r>
      <rPr>
        <i val="true"/>
        <sz val="9"/>
        <color rgb="FF808080"/>
        <rFont val="WenQuanYi Zen Hei"/>
        <family val="2"/>
      </rPr>
      <t xml:space="preserve">분기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반기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사업보고서 수주현황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상세</t>
    </r>
    <r>
      <rPr>
        <i val="true"/>
        <sz val="9"/>
        <color rgb="FF808080"/>
        <rFont val="Arial"/>
        <family val="0"/>
        <charset val="1"/>
      </rPr>
      <t xml:space="preserve">) 2022.12~2026.06, IR </t>
    </r>
    <r>
      <rPr>
        <i val="true"/>
        <sz val="9"/>
        <color rgb="FF808080"/>
        <rFont val="WenQuanYi Zen Hei"/>
        <family val="2"/>
      </rPr>
      <t xml:space="preserve">지상방산 내수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수출 매출</t>
    </r>
    <r>
      <rPr>
        <i val="true"/>
        <sz val="9"/>
        <color rgb="FF808080"/>
        <rFont val="Arial"/>
        <family val="0"/>
        <charset val="1"/>
      </rPr>
      <t xml:space="preserve">. 1Q26 </t>
    </r>
    <r>
      <rPr>
        <i val="true"/>
        <sz val="9"/>
        <color rgb="FF808080"/>
        <rFont val="WenQuanYi Zen Hei"/>
        <family val="2"/>
      </rPr>
      <t xml:space="preserve">분기보고서 미보유 → </t>
    </r>
    <r>
      <rPr>
        <i val="true"/>
        <sz val="9"/>
        <color rgb="FF808080"/>
        <rFont val="Arial"/>
        <family val="0"/>
        <charset val="1"/>
      </rPr>
      <t xml:space="preserve">2026.06 </t>
    </r>
    <r>
      <rPr>
        <i val="true"/>
        <sz val="9"/>
        <color rgb="FF808080"/>
        <rFont val="WenQuanYi Zen Hei"/>
        <family val="2"/>
      </rPr>
      <t xml:space="preserve">열은 </t>
    </r>
    <r>
      <rPr>
        <i val="true"/>
        <sz val="9"/>
        <color rgb="FF808080"/>
        <rFont val="Arial"/>
        <family val="0"/>
        <charset val="1"/>
      </rPr>
      <t xml:space="preserve">1H26(2</t>
    </r>
    <r>
      <rPr>
        <i val="true"/>
        <sz val="9"/>
        <color rgb="FF808080"/>
        <rFont val="WenQuanYi Zen Hei"/>
        <family val="2"/>
      </rPr>
      <t xml:space="preserve">개 분기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합계</t>
    </r>
  </si>
  <si>
    <t xml:space="preserve">항목</t>
  </si>
  <si>
    <t xml:space="preserve">1Q23</t>
  </si>
  <si>
    <t xml:space="preserve">2Q23</t>
  </si>
  <si>
    <t xml:space="preserve">3Q23</t>
  </si>
  <si>
    <t xml:space="preserve">4Q23</t>
  </si>
  <si>
    <t xml:space="preserve">1Q24</t>
  </si>
  <si>
    <t xml:space="preserve">2Q24</t>
  </si>
  <si>
    <t xml:space="preserve">3Q24</t>
  </si>
  <si>
    <t xml:space="preserve">4Q24</t>
  </si>
  <si>
    <t xml:space="preserve">1Q25</t>
  </si>
  <si>
    <t xml:space="preserve">2Q25</t>
  </si>
  <si>
    <t xml:space="preserve">3Q25</t>
  </si>
  <si>
    <t xml:space="preserve">4Q25</t>
  </si>
  <si>
    <t xml:space="preserve">1H26</t>
  </si>
  <si>
    <r>
      <rPr>
        <sz val="9"/>
        <rFont val="Arial"/>
        <family val="0"/>
        <charset val="1"/>
      </rPr>
      <t xml:space="preserve">IR </t>
    </r>
    <r>
      <rPr>
        <sz val="9"/>
        <rFont val="WenQuanYi Zen Hei"/>
        <family val="2"/>
      </rPr>
      <t xml:space="preserve">내수 매출</t>
    </r>
  </si>
  <si>
    <r>
      <rPr>
        <sz val="9"/>
        <rFont val="Arial"/>
        <family val="0"/>
        <charset val="1"/>
      </rPr>
      <t xml:space="preserve">IR </t>
    </r>
    <r>
      <rPr>
        <sz val="9"/>
        <rFont val="WenQuanYi Zen Hei"/>
        <family val="2"/>
      </rPr>
      <t xml:space="preserve">수출 매출</t>
    </r>
  </si>
  <si>
    <r>
      <rPr>
        <b val="true"/>
        <sz val="9"/>
        <rFont val="Arial"/>
        <family val="0"/>
        <charset val="1"/>
      </rPr>
      <t xml:space="preserve">IR </t>
    </r>
    <r>
      <rPr>
        <b val="true"/>
        <sz val="9"/>
        <rFont val="WenQuanYi Zen Hei"/>
        <family val="2"/>
      </rPr>
      <t xml:space="preserve">지상방산 매출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합계</t>
    </r>
    <r>
      <rPr>
        <b val="true"/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</si>
  <si>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DART </t>
    </r>
    <r>
      <rPr>
        <sz val="9"/>
        <rFont val="WenQuanYi Zen Hei"/>
        <family val="2"/>
      </rPr>
      <t xml:space="preserve">개별공시 계약 수출 납품</t>
    </r>
    <r>
      <rPr>
        <sz val="9"/>
        <rFont val="Arial"/>
        <family val="0"/>
        <charset val="1"/>
      </rPr>
      <t xml:space="preserve">(Δ</t>
    </r>
    <r>
      <rPr>
        <sz val="9"/>
        <rFont val="WenQuanYi Zen Hei"/>
        <family val="2"/>
      </rPr>
      <t xml:space="preserve">기납품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</si>
  <si>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DART </t>
    </r>
    <r>
      <rPr>
        <sz val="9"/>
        <rFont val="WenQuanYi Zen Hei"/>
        <family val="2"/>
      </rPr>
      <t xml:space="preserve">개별공시 계약 내수 납품</t>
    </r>
    <r>
      <rPr>
        <sz val="9"/>
        <rFont val="Arial"/>
        <family val="0"/>
        <charset val="1"/>
      </rPr>
      <t xml:space="preserve">(Δ</t>
    </r>
    <r>
      <rPr>
        <sz val="9"/>
        <rFont val="WenQuanYi Zen Hei"/>
        <family val="2"/>
      </rPr>
      <t xml:space="preserve">기납품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</si>
  <si>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잔여 수출 </t>
    </r>
    <r>
      <rPr>
        <b val="true"/>
        <sz val="9"/>
        <rFont val="Arial"/>
        <family val="0"/>
        <charset val="1"/>
      </rPr>
      <t xml:space="preserve">= </t>
    </r>
    <r>
      <rPr>
        <b val="true"/>
        <sz val="9"/>
        <rFont val="WenQuanYi Zen Hei"/>
        <family val="2"/>
      </rPr>
      <t xml:space="preserve">폴란드 </t>
    </r>
    <r>
      <rPr>
        <b val="true"/>
        <sz val="9"/>
        <rFont val="Arial"/>
        <family val="0"/>
        <charset val="1"/>
      </rPr>
      <t xml:space="preserve">K9·</t>
    </r>
    <r>
      <rPr>
        <b val="true"/>
        <sz val="9"/>
        <rFont val="WenQuanYi Zen Hei"/>
        <family val="2"/>
      </rPr>
      <t xml:space="preserve">천무 </t>
    </r>
    <r>
      <rPr>
        <b val="true"/>
        <sz val="9"/>
        <rFont val="Arial"/>
        <family val="0"/>
        <charset val="1"/>
      </rPr>
      <t xml:space="preserve">+ </t>
    </r>
    <r>
      <rPr>
        <b val="true"/>
        <sz val="9"/>
        <rFont val="WenQuanYi Zen Hei"/>
        <family val="2"/>
      </rPr>
      <t xml:space="preserve">기타 비공개 수출</t>
    </r>
  </si>
  <si>
    <t xml:space="preserve">  잔여 수출 비중</t>
  </si>
  <si>
    <r>
      <rPr>
        <b val="true"/>
        <sz val="9"/>
        <rFont val="WenQuanYi Zen Hei"/>
        <family val="2"/>
      </rPr>
      <t xml:space="preserve">잔여 내수 </t>
    </r>
    <r>
      <rPr>
        <b val="true"/>
        <sz val="9"/>
        <rFont val="Arial"/>
        <family val="0"/>
        <charset val="1"/>
      </rPr>
      <t xml:space="preserve">= </t>
    </r>
    <r>
      <rPr>
        <b val="true"/>
        <sz val="9"/>
        <rFont val="WenQuanYi Zen Hei"/>
        <family val="2"/>
      </rPr>
      <t xml:space="preserve">비공개 국내 계약</t>
    </r>
  </si>
  <si>
    <r>
      <rPr>
        <sz val="9"/>
        <rFont val="Arial"/>
        <family val="0"/>
        <charset val="1"/>
      </rPr>
      <t xml:space="preserve">DART </t>
    </r>
    <r>
      <rPr>
        <sz val="9"/>
        <rFont val="WenQuanYi Zen Hei"/>
        <family val="2"/>
      </rPr>
      <t xml:space="preserve">지상방산 수주잔고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기말</t>
    </r>
    <r>
      <rPr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</si>
  <si>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수주</t>
    </r>
    <r>
      <rPr>
        <b val="true"/>
        <sz val="9"/>
        <rFont val="Arial"/>
        <family val="0"/>
        <charset val="1"/>
      </rPr>
      <t xml:space="preserve">+</t>
    </r>
    <r>
      <rPr>
        <b val="true"/>
        <sz val="9"/>
        <rFont val="WenQuanYi Zen Hei"/>
        <family val="2"/>
      </rPr>
      <t xml:space="preserve">환율재평가 </t>
    </r>
    <r>
      <rPr>
        <b val="true"/>
        <sz val="9"/>
        <rFont val="Arial"/>
        <family val="0"/>
        <charset val="1"/>
      </rPr>
      <t xml:space="preserve">= </t>
    </r>
    <r>
      <rPr>
        <b val="true"/>
        <sz val="9"/>
        <rFont val="WenQuanYi Zen Hei"/>
        <family val="2"/>
      </rPr>
      <t xml:space="preserve">매출 </t>
    </r>
    <r>
      <rPr>
        <b val="true"/>
        <sz val="9"/>
        <rFont val="Arial"/>
        <family val="0"/>
        <charset val="1"/>
      </rPr>
      <t xml:space="preserve">+ Δ</t>
    </r>
    <r>
      <rPr>
        <b val="true"/>
        <sz val="9"/>
        <rFont val="WenQuanYi Zen Hei"/>
        <family val="2"/>
      </rPr>
      <t xml:space="preserve">수주잔고</t>
    </r>
  </si>
  <si>
    <r>
      <rPr>
        <i val="true"/>
        <sz val="9"/>
        <color rgb="FF808080"/>
        <rFont val="WenQuanYi Zen Hei"/>
        <family val="2"/>
      </rPr>
      <t xml:space="preserve">플래그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분기 중 계약이 기타 항목에서 분리되어 해당 계약 </t>
    </r>
    <r>
      <rPr>
        <i val="true"/>
        <sz val="9"/>
        <color rgb="FF808080"/>
        <rFont val="Arial"/>
        <family val="0"/>
        <charset val="1"/>
      </rPr>
      <t xml:space="preserve">Δ </t>
    </r>
    <r>
      <rPr>
        <i val="true"/>
        <sz val="9"/>
        <color rgb="FF808080"/>
        <rFont val="WenQuanYi Zen Hei"/>
        <family val="2"/>
      </rPr>
      <t xml:space="preserve">미산정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</si>
  <si>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230mm </t>
    </r>
    <r>
      <rPr>
        <i val="true"/>
        <sz val="9"/>
        <color rgb="FF808080"/>
        <rFont val="WenQuanYi Zen Hei"/>
        <family val="2"/>
      </rPr>
      <t xml:space="preserve">다련장 </t>
    </r>
    <r>
      <rPr>
        <i val="true"/>
        <sz val="9"/>
        <color rgb="FF808080"/>
        <rFont val="Arial"/>
        <family val="0"/>
        <charset val="1"/>
      </rPr>
      <t xml:space="preserve">3</t>
    </r>
    <r>
      <rPr>
        <i val="true"/>
        <sz val="9"/>
        <color rgb="FF808080"/>
        <rFont val="WenQuanYi Zen Hei"/>
        <family val="2"/>
      </rPr>
      <t xml:space="preserve">차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국내 천무</t>
    </r>
    <r>
      <rPr>
        <i val="true"/>
        <sz val="9"/>
        <color rgb="FF808080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</si>
  <si>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K10 </t>
    </r>
    <r>
      <rPr>
        <i val="true"/>
        <sz val="9"/>
        <color rgb="FF808080"/>
        <rFont val="WenQuanYi Zen Hei"/>
        <family val="2"/>
      </rPr>
      <t xml:space="preserve">정비 </t>
    </r>
    <r>
      <rPr>
        <i val="true"/>
        <sz val="9"/>
        <color rgb="FF808080"/>
        <rFont val="Arial"/>
        <family val="0"/>
        <charset val="1"/>
      </rPr>
      <t xml:space="preserve">('22</t>
    </r>
    <r>
      <rPr>
        <i val="true"/>
        <sz val="9"/>
        <color rgb="FF808080"/>
        <rFont val="WenQuanYi Zen Hei"/>
        <family val="2"/>
      </rPr>
      <t xml:space="preserve">년</t>
    </r>
    <r>
      <rPr>
        <i val="true"/>
        <sz val="9"/>
        <color rgb="FF808080"/>
        <rFont val="Arial"/>
        <family val="0"/>
        <charset val="1"/>
      </rPr>
      <t xml:space="preserve">), K56 </t>
    </r>
    <r>
      <rPr>
        <i val="true"/>
        <sz val="9"/>
        <color rgb="FF808080"/>
        <rFont val="WenQuanYi Zen Hei"/>
        <family val="2"/>
      </rPr>
      <t xml:space="preserve">탄약운반장갑운차 </t>
    </r>
    <r>
      <rPr>
        <i val="true"/>
        <sz val="9"/>
        <color rgb="FF808080"/>
        <rFont val="Arial"/>
        <family val="0"/>
        <charset val="1"/>
      </rPr>
      <t xml:space="preserve">5</t>
    </r>
    <r>
      <rPr>
        <i val="true"/>
        <sz val="9"/>
        <color rgb="FF808080"/>
        <rFont val="WenQuanYi Zen Hei"/>
        <family val="2"/>
      </rPr>
      <t xml:space="preserve">차 양산</t>
    </r>
  </si>
  <si>
    <r>
      <rPr>
        <i val="true"/>
        <sz val="9"/>
        <color rgb="FF808080"/>
        <rFont val="WenQuanYi Zen Hei"/>
        <family val="2"/>
      </rPr>
      <t xml:space="preserve">방산수출 이행약정</t>
    </r>
    <r>
      <rPr>
        <i val="true"/>
        <sz val="9"/>
        <color rgb="FF808080"/>
        <rFont val="Arial"/>
        <family val="0"/>
        <charset val="1"/>
      </rPr>
      <t xml:space="preserve">(KOTRA)</t>
    </r>
  </si>
  <si>
    <r>
      <rPr>
        <i val="true"/>
        <sz val="9"/>
        <color rgb="FF808080"/>
        <rFont val="WenQuanYi Zen Hei"/>
        <family val="2"/>
      </rPr>
      <t xml:space="preserve">주</t>
    </r>
    <r>
      <rPr>
        <i val="true"/>
        <sz val="9"/>
        <color rgb="FF808080"/>
        <rFont val="Arial"/>
        <family val="0"/>
        <charset val="1"/>
      </rPr>
      <t xml:space="preserve">1) DART </t>
    </r>
    <r>
      <rPr>
        <i val="true"/>
        <sz val="9"/>
        <color rgb="FF808080"/>
        <rFont val="WenQuanYi Zen Hei"/>
        <family val="2"/>
      </rPr>
      <t xml:space="preserve">기납품액은 누적액이므로 분기 차이를 매출 대용치로 사용</t>
    </r>
    <r>
      <rPr>
        <i val="true"/>
        <sz val="9"/>
        <color rgb="FF808080"/>
        <rFont val="Arial"/>
        <family val="0"/>
        <charset val="1"/>
      </rPr>
      <t xml:space="preserve">. 1H26 </t>
    </r>
    <r>
      <rPr>
        <i val="true"/>
        <sz val="9"/>
        <color rgb="FF808080"/>
        <rFont val="WenQuanYi Zen Hei"/>
        <family val="2"/>
      </rPr>
      <t xml:space="preserve">검증</t>
    </r>
    <r>
      <rPr>
        <i val="true"/>
        <sz val="9"/>
        <color rgb="FF808080"/>
        <rFont val="Arial"/>
        <family val="0"/>
        <charset val="1"/>
      </rPr>
      <t xml:space="preserve">: </t>
    </r>
    <r>
      <rPr>
        <i val="true"/>
        <sz val="9"/>
        <color rgb="FF808080"/>
        <rFont val="WenQuanYi Zen Hei"/>
        <family val="2"/>
      </rPr>
      <t xml:space="preserve">개별계약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기타 </t>
    </r>
    <r>
      <rPr>
        <i val="true"/>
        <sz val="9"/>
        <color rgb="FF808080"/>
        <rFont val="Arial"/>
        <family val="0"/>
        <charset val="1"/>
      </rPr>
      <t xml:space="preserve">Δ </t>
    </r>
    <r>
      <rPr>
        <i val="true"/>
        <sz val="9"/>
        <color rgb="FF808080"/>
        <rFont val="WenQuanYi Zen Hei"/>
        <family val="2"/>
      </rPr>
      <t xml:space="preserve">합계 </t>
    </r>
    <r>
      <rPr>
        <i val="true"/>
        <sz val="9"/>
        <color rgb="FF808080"/>
        <rFont val="Arial"/>
        <family val="0"/>
        <charset val="1"/>
      </rPr>
      <t xml:space="preserve">3,309 vs IR 3,328.6 (</t>
    </r>
    <r>
      <rPr>
        <i val="true"/>
        <sz val="9"/>
        <color rgb="FF808080"/>
        <rFont val="WenQuanYi Zen Hei"/>
        <family val="2"/>
      </rPr>
      <t xml:space="preserve">차이 </t>
    </r>
    <r>
      <rPr>
        <i val="true"/>
        <sz val="9"/>
        <color rgb="FF808080"/>
        <rFont val="Arial"/>
        <family val="0"/>
        <charset val="1"/>
      </rPr>
      <t xml:space="preserve">0.6%).</t>
    </r>
  </si>
  <si>
    <r>
      <rPr>
        <i val="true"/>
        <sz val="9"/>
        <color rgb="FF808080"/>
        <rFont val="WenQuanYi Zen Hei"/>
        <family val="2"/>
      </rPr>
      <t xml:space="preserve">주</t>
    </r>
    <r>
      <rPr>
        <i val="true"/>
        <sz val="9"/>
        <color rgb="FF808080"/>
        <rFont val="Arial"/>
        <family val="0"/>
        <charset val="1"/>
      </rPr>
      <t xml:space="preserve">2) "</t>
    </r>
    <r>
      <rPr>
        <i val="true"/>
        <sz val="9"/>
        <color rgb="FF808080"/>
        <rFont val="WenQuanYi Zen Hei"/>
        <family val="2"/>
      </rPr>
      <t xml:space="preserve">기타 국내외 수주계약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폴란드 </t>
    </r>
    <r>
      <rPr>
        <i val="true"/>
        <sz val="9"/>
        <color rgb="FF808080"/>
        <rFont val="Arial"/>
        <family val="0"/>
        <charset val="1"/>
      </rPr>
      <t xml:space="preserve">K9, </t>
    </r>
    <r>
      <rPr>
        <i val="true"/>
        <sz val="9"/>
        <color rgb="FF808080"/>
        <rFont val="WenQuanYi Zen Hei"/>
        <family val="2"/>
      </rPr>
      <t xml:space="preserve">천무 포함</t>
    </r>
    <r>
      <rPr>
        <i val="true"/>
        <sz val="9"/>
        <color rgb="FF808080"/>
        <rFont val="Arial"/>
        <family val="0"/>
        <charset val="1"/>
      </rPr>
      <t xml:space="preserve">)" </t>
    </r>
    <r>
      <rPr>
        <i val="true"/>
        <sz val="9"/>
        <color rgb="FF808080"/>
        <rFont val="WenQuanYi Zen Hei"/>
        <family val="2"/>
      </rPr>
      <t xml:space="preserve">항목은 완료 계약이 빠지며 누적액이 리셋되므로 </t>
    </r>
    <r>
      <rPr>
        <i val="true"/>
        <sz val="9"/>
        <color rgb="FF808080"/>
        <rFont val="Arial"/>
        <family val="0"/>
        <charset val="1"/>
      </rPr>
      <t xml:space="preserve">Δ</t>
    </r>
    <r>
      <rPr>
        <i val="true"/>
        <sz val="9"/>
        <color rgb="FF808080"/>
        <rFont val="WenQuanYi Zen Hei"/>
        <family val="2"/>
      </rPr>
      <t xml:space="preserve">를 쓰지 않고 </t>
    </r>
    <r>
      <rPr>
        <i val="true"/>
        <sz val="9"/>
        <color rgb="FF808080"/>
        <rFont val="Arial"/>
        <family val="0"/>
        <charset val="1"/>
      </rPr>
      <t xml:space="preserve">IR </t>
    </r>
    <r>
      <rPr>
        <i val="true"/>
        <sz val="9"/>
        <color rgb="FF808080"/>
        <rFont val="WenQuanYi Zen Hei"/>
        <family val="2"/>
      </rPr>
      <t xml:space="preserve">매출 − 개별계약 </t>
    </r>
    <r>
      <rPr>
        <i val="true"/>
        <sz val="9"/>
        <color rgb="FF808080"/>
        <rFont val="Arial"/>
        <family val="0"/>
        <charset val="1"/>
      </rPr>
      <t xml:space="preserve">Δ </t>
    </r>
    <r>
      <rPr>
        <i val="true"/>
        <sz val="9"/>
        <color rgb="FF808080"/>
        <rFont val="WenQuanYi Zen Hei"/>
        <family val="2"/>
      </rPr>
      <t xml:space="preserve">로 역산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</si>
  <si>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WenQuanYi Zen Hei"/>
        <family val="2"/>
      </rPr>
      <t xml:space="preserve">주</t>
    </r>
    <r>
      <rPr>
        <i val="true"/>
        <sz val="9"/>
        <color rgb="FF808080"/>
        <rFont val="Arial"/>
        <family val="0"/>
        <charset val="1"/>
      </rPr>
      <t xml:space="preserve">3) </t>
    </r>
    <r>
      <rPr>
        <i val="true"/>
        <sz val="9"/>
        <color rgb="FF808080"/>
        <rFont val="WenQuanYi Zen Hei"/>
        <family val="2"/>
      </rPr>
      <t xml:space="preserve">개별계약 수출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내수 구분은 계약명 기준</t>
    </r>
    <r>
      <rPr>
        <i val="true"/>
        <sz val="9"/>
        <color rgb="FF808080"/>
        <rFont val="Arial"/>
        <family val="0"/>
        <charset val="1"/>
      </rPr>
      <t xml:space="preserve">(</t>
    </r>
    <r>
      <rPr>
        <i val="true"/>
        <sz val="9"/>
        <color rgb="FF808080"/>
        <rFont val="WenQuanYi Zen Hei"/>
        <family val="2"/>
      </rPr>
      <t xml:space="preserve">국가명 포함 시 수출</t>
    </r>
    <r>
      <rPr>
        <i val="true"/>
        <sz val="9"/>
        <color rgb="FF808080"/>
        <rFont val="Arial"/>
        <family val="0"/>
        <charset val="1"/>
      </rPr>
      <t xml:space="preserve">). SA-MSAM(LIG</t>
    </r>
    <r>
      <rPr>
        <i val="true"/>
        <sz val="9"/>
        <color rgb="FF808080"/>
        <rFont val="WenQuanYi Zen Hei"/>
        <family val="2"/>
      </rPr>
      <t xml:space="preserve">넥스원 고객</t>
    </r>
    <r>
      <rPr>
        <i val="true"/>
        <sz val="9"/>
        <color rgb="FF808080"/>
        <rFont val="Arial"/>
        <family val="0"/>
        <charset val="1"/>
      </rPr>
      <t xml:space="preserve">)</t>
    </r>
    <r>
      <rPr>
        <i val="true"/>
        <sz val="9"/>
        <color rgb="FF808080"/>
        <rFont val="WenQuanYi Zen Hei"/>
        <family val="2"/>
      </rPr>
      <t xml:space="preserve">은 내수로 분류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</si>
  <si>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WenQuanYi Zen Hei"/>
        <family val="2"/>
      </rPr>
      <t xml:space="preserve">주</t>
    </r>
    <r>
      <rPr>
        <i val="true"/>
        <sz val="9"/>
        <color rgb="FF808080"/>
        <rFont val="Arial"/>
        <family val="0"/>
        <charset val="1"/>
      </rPr>
      <t xml:space="preserve">4) </t>
    </r>
    <r>
      <rPr>
        <i val="true"/>
        <sz val="9"/>
        <color rgb="FF808080"/>
        <rFont val="WenQuanYi Zen Hei"/>
        <family val="2"/>
      </rPr>
      <t xml:space="preserve">수주잔고는 외화계약을 기준일 매매기준율로 재평가 → </t>
    </r>
    <r>
      <rPr>
        <i val="true"/>
        <sz val="9"/>
        <color rgb="FF808080"/>
        <rFont val="Arial"/>
        <family val="0"/>
        <charset val="1"/>
      </rPr>
      <t xml:space="preserve">"</t>
    </r>
    <r>
      <rPr>
        <i val="true"/>
        <sz val="9"/>
        <color rgb="FF808080"/>
        <rFont val="WenQuanYi Zen Hei"/>
        <family val="2"/>
      </rPr>
      <t xml:space="preserve">수주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환율재평가</t>
    </r>
    <r>
      <rPr>
        <i val="true"/>
        <sz val="9"/>
        <color rgb="FF808080"/>
        <rFont val="Arial"/>
        <family val="0"/>
        <charset val="1"/>
      </rPr>
      <t xml:space="preserve">"</t>
    </r>
    <r>
      <rPr>
        <i val="true"/>
        <sz val="9"/>
        <color rgb="FF808080"/>
        <rFont val="WenQuanYi Zen Hei"/>
        <family val="2"/>
      </rPr>
      <t xml:space="preserve">는 신규수주와 환율효과가 섞인 값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</si>
  <si>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WenQuanYi Zen Hei"/>
        <family val="2"/>
      </rPr>
      <t xml:space="preserve">주</t>
    </r>
    <r>
      <rPr>
        <i val="true"/>
        <sz val="9"/>
        <color rgb="FF808080"/>
        <rFont val="Arial"/>
        <family val="0"/>
        <charset val="1"/>
      </rPr>
      <t xml:space="preserve">5) 3Q26(IR): </t>
    </r>
    <r>
      <rPr>
        <i val="true"/>
        <sz val="9"/>
        <color rgb="FF808080"/>
        <rFont val="WenQuanYi Zen Hei"/>
        <family val="2"/>
      </rPr>
      <t xml:space="preserve">매출 </t>
    </r>
    <r>
      <rPr>
        <i val="true"/>
        <sz val="9"/>
        <color rgb="FF808080"/>
        <rFont val="Arial"/>
        <family val="0"/>
        <charset val="1"/>
      </rPr>
      <t xml:space="preserve">1,245.5, </t>
    </r>
    <r>
      <rPr>
        <i val="true"/>
        <sz val="9"/>
        <color rgb="FF808080"/>
        <rFont val="WenQuanYi Zen Hei"/>
        <family val="2"/>
      </rPr>
      <t xml:space="preserve">잔고 </t>
    </r>
    <r>
      <rPr>
        <i val="true"/>
        <sz val="9"/>
        <color rgb="FF808080"/>
        <rFont val="Arial"/>
        <family val="0"/>
        <charset val="1"/>
      </rPr>
      <t xml:space="preserve">35,008 → </t>
    </r>
    <r>
      <rPr>
        <i val="true"/>
        <sz val="9"/>
        <color rgb="FF808080"/>
        <rFont val="WenQuanYi Zen Hei"/>
        <family val="2"/>
      </rPr>
      <t xml:space="preserve">수주</t>
    </r>
    <r>
      <rPr>
        <i val="true"/>
        <sz val="9"/>
        <color rgb="FF808080"/>
        <rFont val="Arial"/>
        <family val="0"/>
        <charset val="1"/>
      </rPr>
      <t xml:space="preserve">+</t>
    </r>
    <r>
      <rPr>
        <i val="true"/>
        <sz val="9"/>
        <color rgb="FF808080"/>
        <rFont val="WenQuanYi Zen Hei"/>
        <family val="2"/>
      </rPr>
      <t xml:space="preserve">환율 </t>
    </r>
    <r>
      <rPr>
        <i val="true"/>
        <sz val="9"/>
        <color rgb="FF808080"/>
        <rFont val="Arial"/>
        <family val="0"/>
        <charset val="1"/>
      </rPr>
      <t xml:space="preserve">= 1,245.5 + 35,008 − 38,307 = −2,054 (6/30 </t>
    </r>
    <r>
      <rPr>
        <i val="true"/>
        <sz val="9"/>
        <color rgb="FF808080"/>
        <rFont val="WenQuanYi Zen Hei"/>
        <family val="2"/>
      </rPr>
      <t xml:space="preserve">원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달러 약 </t>
    </r>
    <r>
      <rPr>
        <i val="true"/>
        <sz val="9"/>
        <color rgb="FF808080"/>
        <rFont val="Arial"/>
        <family val="0"/>
        <charset val="1"/>
      </rPr>
      <t xml:space="preserve">1,543 → 9/30 1,358.4, </t>
    </r>
    <r>
      <rPr>
        <i val="true"/>
        <sz val="9"/>
        <color rgb="FF808080"/>
        <rFont val="WenQuanYi Zen Hei"/>
        <family val="2"/>
      </rPr>
      <t xml:space="preserve">약 −</t>
    </r>
    <r>
      <rPr>
        <i val="true"/>
        <sz val="9"/>
        <color rgb="FF808080"/>
        <rFont val="Arial"/>
        <family val="0"/>
        <charset val="1"/>
      </rPr>
      <t xml:space="preserve">12%).</t>
    </r>
  </si>
  <si>
    <r>
      <rPr>
        <b val="true"/>
        <sz val="11"/>
        <rFont val="Arial"/>
        <family val="0"/>
        <charset val="1"/>
      </rPr>
      <t xml:space="preserve">DART </t>
    </r>
    <r>
      <rPr>
        <b val="true"/>
        <sz val="11"/>
        <rFont val="WenQuanYi Zen Hei"/>
        <family val="2"/>
      </rPr>
      <t xml:space="preserve">지상방산 계약별 수주총액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WenQuanYi Zen Hei"/>
        <family val="2"/>
      </rPr>
      <t xml:space="preserve">기납품액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누적</t>
    </r>
    <r>
      <rPr>
        <b val="true"/>
        <sz val="11"/>
        <rFont val="Arial"/>
        <family val="0"/>
        <charset val="1"/>
      </rPr>
      <t xml:space="preserve">) / </t>
    </r>
    <r>
      <rPr>
        <b val="true"/>
        <sz val="11"/>
        <rFont val="WenQuanYi Zen Hei"/>
        <family val="2"/>
      </rPr>
      <t xml:space="preserve">수주잔고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단위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십억원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외화계약은 각 기준일 환율</t>
    </r>
    <r>
      <rPr>
        <b val="true"/>
        <sz val="11"/>
        <rFont val="Arial"/>
        <family val="0"/>
        <charset val="1"/>
      </rPr>
      <t xml:space="preserve">)</t>
    </r>
  </si>
  <si>
    <t xml:space="preserve">계약</t>
  </si>
  <si>
    <t xml:space="preserve">구분</t>
  </si>
  <si>
    <t xml:space="preserve">4Q22</t>
  </si>
  <si>
    <t xml:space="preserve">2Q26</t>
  </si>
  <si>
    <r>
      <rPr>
        <b val="true"/>
        <sz val="9"/>
        <rFont val="WenQuanYi Zen Hei"/>
        <family val="2"/>
      </rPr>
      <t xml:space="preserve">진척률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최근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</si>
  <si>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UAE </t>
    </r>
    <r>
      <rPr>
        <b val="true"/>
        <sz val="9"/>
        <rFont val="WenQuanYi Zen Hei"/>
        <family val="2"/>
      </rPr>
      <t xml:space="preserve">천궁 </t>
    </r>
    <r>
      <rPr>
        <b val="true"/>
        <sz val="9"/>
        <rFont val="Arial"/>
        <family val="0"/>
        <charset val="1"/>
      </rPr>
      <t xml:space="preserve">M-sam </t>
    </r>
    <r>
      <rPr>
        <b val="true"/>
        <sz val="9"/>
        <rFont val="WenQuanYi Zen Hei"/>
        <family val="2"/>
      </rPr>
      <t xml:space="preserve">발사대</t>
    </r>
  </si>
  <si>
    <t xml:space="preserve">수출</t>
  </si>
  <si>
    <t xml:space="preserve">수주총액</t>
  </si>
  <si>
    <t xml:space="preserve">기납품 누적</t>
  </si>
  <si>
    <t xml:space="preserve">수주잔고</t>
  </si>
  <si>
    <t xml:space="preserve">노르웨이 천무 다연장 로켓 수출사업</t>
  </si>
  <si>
    <r>
      <rPr>
        <b val="true"/>
        <sz val="9"/>
        <rFont val="WenQuanYi Zen Hei"/>
        <family val="2"/>
      </rPr>
      <t xml:space="preserve">루마니아 </t>
    </r>
    <r>
      <rPr>
        <b val="true"/>
        <sz val="9"/>
        <rFont val="Arial"/>
        <family val="0"/>
        <charset val="1"/>
      </rPr>
      <t xml:space="preserve">K9</t>
    </r>
  </si>
  <si>
    <r>
      <rPr>
        <b val="true"/>
        <sz val="9"/>
        <rFont val="WenQuanYi Zen Hei"/>
        <family val="2"/>
      </rPr>
      <t xml:space="preserve">방산수출 이행약정</t>
    </r>
    <r>
      <rPr>
        <b val="true"/>
        <sz val="9"/>
        <rFont val="Arial"/>
        <family val="0"/>
        <charset val="1"/>
      </rPr>
      <t xml:space="preserve">(KOTRA)</t>
    </r>
  </si>
  <si>
    <r>
      <rPr>
        <b val="true"/>
        <sz val="9"/>
        <rFont val="WenQuanYi Zen Hei"/>
        <family val="2"/>
      </rPr>
      <t xml:space="preserve">방산수출 이행약정</t>
    </r>
    <r>
      <rPr>
        <b val="true"/>
        <sz val="9"/>
        <rFont val="Arial"/>
        <family val="0"/>
        <charset val="1"/>
      </rPr>
      <t xml:space="preserve">(KOTRA-</t>
    </r>
    <r>
      <rPr>
        <b val="true"/>
        <sz val="9"/>
        <rFont val="WenQuanYi Zen Hei"/>
        <family val="2"/>
      </rPr>
      <t xml:space="preserve">에스토니아 천무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</si>
  <si>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방산수출 이행약정</t>
    </r>
    <r>
      <rPr>
        <b val="true"/>
        <sz val="9"/>
        <rFont val="Arial"/>
        <family val="0"/>
        <charset val="1"/>
      </rPr>
      <t xml:space="preserve">(KOTRA-</t>
    </r>
    <r>
      <rPr>
        <b val="true"/>
        <sz val="9"/>
        <rFont val="WenQuanYi Zen Hei"/>
        <family val="2"/>
      </rPr>
      <t xml:space="preserve">핀란드 </t>
    </r>
    <r>
      <rPr>
        <b val="true"/>
        <sz val="9"/>
        <rFont val="Arial"/>
        <family val="0"/>
        <charset val="1"/>
      </rPr>
      <t xml:space="preserve">K9)</t>
    </r>
  </si>
  <si>
    <r>
      <rPr>
        <b val="true"/>
        <sz val="9"/>
        <rFont val="WenQuanYi Zen Hei"/>
        <family val="2"/>
      </rPr>
      <t xml:space="preserve">에스토니아 </t>
    </r>
    <r>
      <rPr>
        <b val="true"/>
        <sz val="9"/>
        <rFont val="Arial"/>
        <family val="0"/>
        <charset val="1"/>
      </rPr>
      <t xml:space="preserve">K9 </t>
    </r>
    <r>
      <rPr>
        <b val="true"/>
        <sz val="9"/>
        <rFont val="WenQuanYi Zen Hei"/>
        <family val="2"/>
      </rPr>
      <t xml:space="preserve">수출</t>
    </r>
  </si>
  <si>
    <r>
      <rPr>
        <b val="true"/>
        <sz val="9"/>
        <rFont val="WenQuanYi Zen Hei"/>
        <family val="2"/>
      </rPr>
      <t xml:space="preserve">유도무기류 공급계약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중동지역국가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</si>
  <si>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이집트 </t>
    </r>
    <r>
      <rPr>
        <b val="true"/>
        <sz val="9"/>
        <rFont val="Arial"/>
        <family val="0"/>
        <charset val="1"/>
      </rPr>
      <t xml:space="preserve">K9</t>
    </r>
  </si>
  <si>
    <r>
      <rPr>
        <b val="true"/>
        <sz val="9"/>
        <rFont val="WenQuanYi Zen Hei"/>
        <family val="2"/>
      </rPr>
      <t xml:space="preserve">인도 </t>
    </r>
    <r>
      <rPr>
        <b val="true"/>
        <sz val="9"/>
        <rFont val="Arial"/>
        <family val="0"/>
        <charset val="1"/>
      </rPr>
      <t xml:space="preserve">K9 </t>
    </r>
    <r>
      <rPr>
        <b val="true"/>
        <sz val="9"/>
        <rFont val="WenQuanYi Zen Hei"/>
        <family val="2"/>
      </rPr>
      <t xml:space="preserve">자주포 </t>
    </r>
    <r>
      <rPr>
        <b val="true"/>
        <sz val="9"/>
        <rFont val="Arial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차 수출사업 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구성품 공급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</si>
  <si>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폴란드 자주포용 </t>
    </r>
    <r>
      <rPr>
        <b val="true"/>
        <sz val="9"/>
        <rFont val="Arial"/>
        <family val="0"/>
        <charset val="1"/>
      </rPr>
      <t xml:space="preserve">K9 </t>
    </r>
    <r>
      <rPr>
        <b val="true"/>
        <sz val="9"/>
        <rFont val="WenQuanYi Zen Hei"/>
        <family val="2"/>
      </rPr>
      <t xml:space="preserve">차체</t>
    </r>
    <r>
      <rPr>
        <b val="true"/>
        <sz val="9"/>
        <rFont val="Arial"/>
        <family val="0"/>
        <charset val="1"/>
      </rPr>
      <t xml:space="preserve">/</t>
    </r>
    <r>
      <rPr>
        <b val="true"/>
        <sz val="9"/>
        <rFont val="WenQuanYi Zen Hei"/>
        <family val="2"/>
      </rPr>
      <t xml:space="preserve">부품 수출</t>
    </r>
  </si>
  <si>
    <r>
      <rPr>
        <b val="true"/>
        <sz val="9"/>
        <rFont val="WenQuanYi Zen Hei"/>
        <family val="2"/>
      </rPr>
      <t xml:space="preserve">핀란드 </t>
    </r>
    <r>
      <rPr>
        <b val="true"/>
        <sz val="9"/>
        <rFont val="Arial"/>
        <family val="0"/>
        <charset val="1"/>
      </rPr>
      <t xml:space="preserve">K9 </t>
    </r>
    <r>
      <rPr>
        <b val="true"/>
        <sz val="9"/>
        <rFont val="WenQuanYi Zen Hei"/>
        <family val="2"/>
      </rPr>
      <t xml:space="preserve">수출</t>
    </r>
  </si>
  <si>
    <r>
      <rPr>
        <b val="true"/>
        <sz val="9"/>
        <rFont val="WenQuanYi Zen Hei"/>
        <family val="2"/>
      </rPr>
      <t xml:space="preserve">호주 </t>
    </r>
    <r>
      <rPr>
        <b val="true"/>
        <sz val="9"/>
        <rFont val="Arial"/>
        <family val="0"/>
        <charset val="1"/>
      </rPr>
      <t xml:space="preserve">K9</t>
    </r>
  </si>
  <si>
    <r>
      <rPr>
        <b val="true"/>
        <sz val="9"/>
        <rFont val="WenQuanYi Zen Hei"/>
        <family val="2"/>
      </rPr>
      <t xml:space="preserve">호주 </t>
    </r>
    <r>
      <rPr>
        <b val="true"/>
        <sz val="9"/>
        <rFont val="Arial"/>
        <family val="0"/>
        <charset val="1"/>
      </rPr>
      <t xml:space="preserve">Land 400 Ph.3 </t>
    </r>
    <r>
      <rPr>
        <b val="true"/>
        <sz val="9"/>
        <rFont val="WenQuanYi Zen Hei"/>
        <family val="2"/>
      </rPr>
      <t xml:space="preserve">보병전투차량</t>
    </r>
  </si>
  <si>
    <r>
      <rPr>
        <b val="true"/>
        <sz val="9"/>
        <rFont val="Arial"/>
        <family val="0"/>
        <charset val="1"/>
      </rPr>
      <t xml:space="preserve">120</t>
    </r>
    <r>
      <rPr>
        <b val="true"/>
        <sz val="9"/>
        <rFont val="WenQuanYi Zen Hei"/>
        <family val="2"/>
      </rPr>
      <t xml:space="preserve">밀리 사격지휘차 양산</t>
    </r>
  </si>
  <si>
    <t xml:space="preserve">내수</t>
  </si>
  <si>
    <r>
      <rPr>
        <b val="true"/>
        <sz val="9"/>
        <rFont val="Arial"/>
        <family val="0"/>
        <charset val="1"/>
      </rPr>
      <t xml:space="preserve">120</t>
    </r>
    <r>
      <rPr>
        <b val="true"/>
        <sz val="9"/>
        <rFont val="WenQuanYi Zen Hei"/>
        <family val="2"/>
      </rPr>
      <t xml:space="preserve">밀리 자주박격포 양산</t>
    </r>
  </si>
  <si>
    <r>
      <rPr>
        <b val="true"/>
        <sz val="9"/>
        <rFont val="Arial"/>
        <family val="0"/>
        <charset val="1"/>
      </rPr>
      <t xml:space="preserve">230mm </t>
    </r>
    <r>
      <rPr>
        <b val="true"/>
        <sz val="9"/>
        <rFont val="WenQuanYi Zen Hei"/>
        <family val="2"/>
      </rPr>
      <t xml:space="preserve">다련장 </t>
    </r>
    <r>
      <rPr>
        <b val="true"/>
        <sz val="9"/>
        <rFont val="Arial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차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국내 천무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</si>
  <si>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30</t>
    </r>
    <r>
      <rPr>
        <b val="true"/>
        <sz val="9"/>
        <rFont val="WenQuanYi Zen Hei"/>
        <family val="2"/>
      </rPr>
      <t xml:space="preserve">밀리 복합대공화기 </t>
    </r>
    <r>
      <rPr>
        <b val="true"/>
        <sz val="9"/>
        <rFont val="Arial"/>
        <family val="0"/>
        <charset val="1"/>
      </rPr>
      <t xml:space="preserve">2</t>
    </r>
    <r>
      <rPr>
        <b val="true"/>
        <sz val="9"/>
        <rFont val="WenQuanYi Zen Hei"/>
        <family val="2"/>
      </rPr>
      <t xml:space="preserve">차양산</t>
    </r>
  </si>
  <si>
    <r>
      <rPr>
        <b val="true"/>
        <sz val="9"/>
        <rFont val="Arial"/>
        <family val="0"/>
        <charset val="1"/>
      </rPr>
      <t xml:space="preserve">IM3 </t>
    </r>
    <r>
      <rPr>
        <b val="true"/>
        <sz val="9"/>
        <rFont val="WenQuanYi Zen Hei"/>
        <family val="2"/>
      </rPr>
      <t xml:space="preserve">사업 발사대 분야 양산</t>
    </r>
  </si>
  <si>
    <r>
      <rPr>
        <b val="true"/>
        <sz val="9"/>
        <rFont val="Arial"/>
        <family val="0"/>
        <charset val="1"/>
      </rPr>
      <t xml:space="preserve">K-56 </t>
    </r>
    <r>
      <rPr>
        <b val="true"/>
        <sz val="9"/>
        <rFont val="WenQuanYi Zen Hei"/>
        <family val="2"/>
      </rPr>
      <t xml:space="preserve">탄약운반차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WenQuanYi Zen Hei"/>
        <family val="2"/>
      </rPr>
      <t xml:space="preserve">차양산</t>
    </r>
  </si>
  <si>
    <r>
      <rPr>
        <b val="true"/>
        <sz val="9"/>
        <rFont val="Arial"/>
        <family val="0"/>
        <charset val="1"/>
      </rPr>
      <t xml:space="preserve">K10 </t>
    </r>
    <r>
      <rPr>
        <b val="true"/>
        <sz val="9"/>
        <rFont val="WenQuanYi Zen Hei"/>
        <family val="2"/>
      </rPr>
      <t xml:space="preserve">정비 </t>
    </r>
    <r>
      <rPr>
        <b val="true"/>
        <sz val="9"/>
        <rFont val="Arial"/>
        <family val="0"/>
        <charset val="1"/>
      </rPr>
      <t xml:space="preserve">('22</t>
    </r>
    <r>
      <rPr>
        <b val="true"/>
        <sz val="9"/>
        <rFont val="WenQuanYi Zen Hei"/>
        <family val="2"/>
      </rPr>
      <t xml:space="preserve">년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</si>
  <si>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Arial"/>
        <family val="0"/>
        <charset val="1"/>
      </rPr>
      <t xml:space="preserve">K105A1 2</t>
    </r>
    <r>
      <rPr>
        <b val="true"/>
        <sz val="9"/>
        <rFont val="WenQuanYi Zen Hei"/>
        <family val="2"/>
      </rPr>
      <t xml:space="preserve">차 양산 사업</t>
    </r>
  </si>
  <si>
    <r>
      <rPr>
        <b val="true"/>
        <sz val="9"/>
        <rFont val="Arial"/>
        <family val="0"/>
        <charset val="1"/>
      </rPr>
      <t xml:space="preserve">K105A1 </t>
    </r>
    <r>
      <rPr>
        <b val="true"/>
        <sz val="9"/>
        <rFont val="WenQuanYi Zen Hei"/>
        <family val="2"/>
      </rPr>
      <t xml:space="preserve">자주포 </t>
    </r>
    <r>
      <rPr>
        <b val="true"/>
        <sz val="9"/>
        <rFont val="Arial"/>
        <family val="0"/>
        <charset val="1"/>
      </rPr>
      <t xml:space="preserve">3</t>
    </r>
    <r>
      <rPr>
        <b val="true"/>
        <sz val="9"/>
        <rFont val="WenQuanYi Zen Hei"/>
        <family val="2"/>
      </rPr>
      <t xml:space="preserve">차양산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주장비</t>
    </r>
    <r>
      <rPr>
        <b val="true"/>
        <sz val="9"/>
        <rFont val="Arial"/>
        <family val="0"/>
        <charset val="1"/>
      </rPr>
      <t xml:space="preserve">) </t>
    </r>
    <r>
      <rPr>
        <b val="true"/>
        <sz val="9"/>
        <rFont val="WenQuanYi Zen Hei"/>
        <family val="2"/>
      </rPr>
      <t xml:space="preserve">외 </t>
    </r>
    <r>
      <rPr>
        <b val="true"/>
        <sz val="9"/>
        <rFont val="Arial"/>
        <family val="0"/>
        <charset val="1"/>
      </rPr>
      <t xml:space="preserve">20</t>
    </r>
    <r>
      <rPr>
        <b val="true"/>
        <sz val="9"/>
        <rFont val="WenQuanYi Zen Hei"/>
        <family val="2"/>
      </rPr>
      <t xml:space="preserve">항목</t>
    </r>
  </si>
  <si>
    <r>
      <rPr>
        <b val="true"/>
        <sz val="9"/>
        <rFont val="Arial"/>
        <family val="0"/>
        <charset val="1"/>
      </rPr>
      <t xml:space="preserve">K200</t>
    </r>
    <r>
      <rPr>
        <b val="true"/>
        <sz val="9"/>
        <rFont val="WenQuanYi Zen Hei"/>
        <family val="2"/>
      </rPr>
      <t xml:space="preserve">계열 성능개량</t>
    </r>
  </si>
  <si>
    <r>
      <rPr>
        <b val="true"/>
        <sz val="9"/>
        <rFont val="Arial"/>
        <family val="0"/>
        <charset val="1"/>
      </rPr>
      <t xml:space="preserve">K21 </t>
    </r>
    <r>
      <rPr>
        <b val="true"/>
        <sz val="9"/>
        <rFont val="WenQuanYi Zen Hei"/>
        <family val="2"/>
      </rPr>
      <t xml:space="preserve">보병전투차량 </t>
    </r>
    <r>
      <rPr>
        <b val="true"/>
        <sz val="9"/>
        <rFont val="Arial"/>
        <family val="0"/>
        <charset val="1"/>
      </rPr>
      <t xml:space="preserve">4</t>
    </r>
    <r>
      <rPr>
        <b val="true"/>
        <sz val="9"/>
        <rFont val="WenQuanYi Zen Hei"/>
        <family val="2"/>
      </rPr>
      <t xml:space="preserve">차양산</t>
    </r>
  </si>
  <si>
    <r>
      <rPr>
        <b val="true"/>
        <sz val="9"/>
        <rFont val="Arial"/>
        <family val="0"/>
        <charset val="1"/>
      </rPr>
      <t xml:space="preserve">K21</t>
    </r>
    <r>
      <rPr>
        <b val="true"/>
        <sz val="9"/>
        <rFont val="WenQuanYi Zen Hei"/>
        <family val="2"/>
      </rPr>
      <t xml:space="preserve">보병전투차량 </t>
    </r>
    <r>
      <rPr>
        <b val="true"/>
        <sz val="9"/>
        <rFont val="Arial"/>
        <family val="0"/>
        <charset val="1"/>
      </rPr>
      <t xml:space="preserve">PBL</t>
    </r>
  </si>
  <si>
    <r>
      <rPr>
        <b val="true"/>
        <sz val="9"/>
        <rFont val="Arial"/>
        <family val="0"/>
        <charset val="1"/>
      </rPr>
      <t xml:space="preserve">K56 </t>
    </r>
    <r>
      <rPr>
        <b val="true"/>
        <sz val="9"/>
        <rFont val="WenQuanYi Zen Hei"/>
        <family val="2"/>
      </rPr>
      <t xml:space="preserve">탄약운반장갑운차 </t>
    </r>
    <r>
      <rPr>
        <b val="true"/>
        <sz val="9"/>
        <rFont val="Arial"/>
        <family val="0"/>
        <charset val="1"/>
      </rPr>
      <t xml:space="preserve">5</t>
    </r>
    <r>
      <rPr>
        <b val="true"/>
        <sz val="9"/>
        <rFont val="WenQuanYi Zen Hei"/>
        <family val="2"/>
      </rPr>
      <t xml:space="preserve">차 양산</t>
    </r>
  </si>
  <si>
    <r>
      <rPr>
        <b val="true"/>
        <sz val="9"/>
        <rFont val="Arial"/>
        <family val="0"/>
        <charset val="1"/>
      </rPr>
      <t xml:space="preserve">K9 </t>
    </r>
    <r>
      <rPr>
        <b val="true"/>
        <sz val="9"/>
        <rFont val="WenQuanYi Zen Hei"/>
        <family val="2"/>
      </rPr>
      <t xml:space="preserve">자주포 </t>
    </r>
    <r>
      <rPr>
        <b val="true"/>
        <sz val="9"/>
        <rFont val="Arial"/>
        <family val="0"/>
        <charset val="1"/>
      </rPr>
      <t xml:space="preserve">PBL 1</t>
    </r>
    <r>
      <rPr>
        <b val="true"/>
        <sz val="9"/>
        <rFont val="WenQuanYi Zen Hei"/>
        <family val="2"/>
      </rPr>
      <t xml:space="preserve">차 사업</t>
    </r>
  </si>
  <si>
    <r>
      <rPr>
        <b val="true"/>
        <sz val="9"/>
        <rFont val="Arial"/>
        <family val="0"/>
        <charset val="1"/>
      </rPr>
      <t xml:space="preserve">K9 </t>
    </r>
    <r>
      <rPr>
        <b val="true"/>
        <sz val="9"/>
        <rFont val="WenQuanYi Zen Hei"/>
        <family val="2"/>
      </rPr>
      <t xml:space="preserve">자주포 </t>
    </r>
    <r>
      <rPr>
        <b val="true"/>
        <sz val="9"/>
        <rFont val="Arial"/>
        <family val="0"/>
        <charset val="1"/>
      </rPr>
      <t xml:space="preserve">PBL 2</t>
    </r>
    <r>
      <rPr>
        <b val="true"/>
        <sz val="9"/>
        <rFont val="WenQuanYi Zen Hei"/>
        <family val="2"/>
      </rPr>
      <t xml:space="preserve">차 사업</t>
    </r>
  </si>
  <si>
    <r>
      <rPr>
        <b val="true"/>
        <sz val="9"/>
        <rFont val="Arial"/>
        <family val="0"/>
        <charset val="1"/>
      </rPr>
      <t xml:space="preserve">K9A1 </t>
    </r>
    <r>
      <rPr>
        <b val="true"/>
        <sz val="9"/>
        <rFont val="WenQuanYi Zen Hei"/>
        <family val="2"/>
      </rPr>
      <t xml:space="preserve">외주정비</t>
    </r>
    <r>
      <rPr>
        <b val="true"/>
        <sz val="9"/>
        <rFont val="Arial"/>
        <family val="0"/>
        <charset val="1"/>
      </rPr>
      <t xml:space="preserve">('22)</t>
    </r>
  </si>
  <si>
    <r>
      <rPr>
        <b val="true"/>
        <sz val="9"/>
        <rFont val="Arial"/>
        <family val="0"/>
        <charset val="1"/>
      </rPr>
      <t xml:space="preserve">KAAV-P </t>
    </r>
    <r>
      <rPr>
        <b val="true"/>
        <sz val="9"/>
        <rFont val="WenQuanYi Zen Hei"/>
        <family val="2"/>
      </rPr>
      <t xml:space="preserve">외주정비</t>
    </r>
  </si>
  <si>
    <r>
      <rPr>
        <b val="true"/>
        <sz val="9"/>
        <rFont val="Arial"/>
        <family val="0"/>
        <charset val="1"/>
      </rPr>
      <t xml:space="preserve">L-SAM </t>
    </r>
    <r>
      <rPr>
        <b val="true"/>
        <sz val="9"/>
        <rFont val="WenQuanYi Zen Hei"/>
        <family val="2"/>
      </rPr>
      <t xml:space="preserve">양산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발사대</t>
    </r>
    <r>
      <rPr>
        <b val="true"/>
        <sz val="9"/>
        <rFont val="Arial"/>
        <family val="0"/>
        <charset val="1"/>
      </rPr>
      <t xml:space="preserve">,ABM)</t>
    </r>
  </si>
  <si>
    <r>
      <rPr>
        <b val="true"/>
        <sz val="9"/>
        <rFont val="Arial"/>
        <family val="0"/>
        <charset val="1"/>
      </rPr>
      <t xml:space="preserve">SA-MSAM </t>
    </r>
    <r>
      <rPr>
        <b val="true"/>
        <sz val="9"/>
        <rFont val="WenQuanYi Zen Hei"/>
        <family val="2"/>
      </rPr>
      <t xml:space="preserve">사업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발사대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WenQuanYi Zen Hei"/>
        <family val="2"/>
      </rPr>
      <t xml:space="preserve">탄내구성품</t>
    </r>
    <r>
      <rPr>
        <b val="true"/>
        <sz val="9"/>
        <rFont val="Arial"/>
        <family val="0"/>
        <charset val="1"/>
      </rPr>
      <t xml:space="preserve">, </t>
    </r>
    <r>
      <rPr>
        <b val="true"/>
        <sz val="9"/>
        <rFont val="WenQuanYi Zen Hei"/>
        <family val="2"/>
      </rPr>
      <t xml:space="preserve">발사관 분야 양산</t>
    </r>
    <r>
      <rPr>
        <b val="true"/>
        <sz val="9"/>
        <rFont val="Arial"/>
        <family val="0"/>
        <charset val="1"/>
      </rPr>
      <t xml:space="preserve">)</t>
    </r>
  </si>
  <si>
    <t xml:space="preserve">복합화기원격사격통제체계</t>
  </si>
  <si>
    <t xml:space="preserve">자주도하장비 양산</t>
  </si>
  <si>
    <t xml:space="preserve">전기추진체계</t>
  </si>
  <si>
    <t xml:space="preserve">차량형 화생방정찰차 양산</t>
  </si>
  <si>
    <r>
      <rPr>
        <b val="true"/>
        <sz val="9"/>
        <rFont val="WenQuanYi Zen Hei"/>
        <family val="2"/>
      </rPr>
      <t xml:space="preserve">차륜형대공포 양산</t>
    </r>
    <r>
      <rPr>
        <b val="true"/>
        <sz val="9"/>
        <rFont val="Arial"/>
        <family val="0"/>
        <charset val="1"/>
      </rPr>
      <t xml:space="preserve">(1</t>
    </r>
    <r>
      <rPr>
        <b val="true"/>
        <sz val="9"/>
        <rFont val="WenQuanYi Zen Hei"/>
        <family val="2"/>
      </rPr>
      <t xml:space="preserve">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</si>
  <si>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천마외주정비 </t>
    </r>
    <r>
      <rPr>
        <b val="true"/>
        <sz val="9"/>
        <rFont val="Arial"/>
        <family val="0"/>
        <charset val="1"/>
      </rPr>
      <t xml:space="preserve">('20</t>
    </r>
    <r>
      <rPr>
        <b val="true"/>
        <sz val="9"/>
        <rFont val="WenQuanYi Zen Hei"/>
        <family val="2"/>
      </rPr>
      <t xml:space="preserve">년 계약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</si>
  <si>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9"/>
        <rFont val="WenQuanYi Zen Hei"/>
        <family val="2"/>
      </rPr>
      <t xml:space="preserve">천마외주정비</t>
    </r>
    <r>
      <rPr>
        <b val="true"/>
        <sz val="9"/>
        <rFont val="Arial"/>
        <family val="0"/>
        <charset val="1"/>
      </rPr>
      <t xml:space="preserve">('23)</t>
    </r>
  </si>
  <si>
    <r>
      <rPr>
        <b val="true"/>
        <sz val="9"/>
        <rFont val="WenQuanYi Zen Hei"/>
        <family val="2"/>
      </rPr>
      <t xml:space="preserve">기타 국내외</t>
    </r>
    <r>
      <rPr>
        <b val="true"/>
        <sz val="9"/>
        <rFont val="Arial"/>
        <family val="0"/>
        <charset val="1"/>
      </rPr>
      <t xml:space="preserve">(</t>
    </r>
    <r>
      <rPr>
        <b val="true"/>
        <sz val="9"/>
        <rFont val="WenQuanYi Zen Hei"/>
        <family val="2"/>
      </rPr>
      <t xml:space="preserve">폴란드 </t>
    </r>
    <r>
      <rPr>
        <b val="true"/>
        <sz val="9"/>
        <rFont val="Arial"/>
        <family val="0"/>
        <charset val="1"/>
      </rPr>
      <t xml:space="preserve">K9·</t>
    </r>
    <r>
      <rPr>
        <b val="true"/>
        <sz val="9"/>
        <rFont val="WenQuanYi Zen Hei"/>
        <family val="2"/>
      </rPr>
      <t xml:space="preserve">천무 포함</t>
    </r>
    <r>
      <rPr>
        <b val="true"/>
        <sz val="9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</si>
  <si>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개별공시 계약 분기 납품액</t>
    </r>
    <r>
      <rPr>
        <b val="true"/>
        <sz val="11"/>
        <rFont val="Arial"/>
        <family val="0"/>
        <charset val="1"/>
      </rPr>
      <t xml:space="preserve">(Δ</t>
    </r>
    <r>
      <rPr>
        <b val="true"/>
        <sz val="11"/>
        <rFont val="WenQuanYi Zen Hei"/>
        <family val="2"/>
      </rPr>
      <t xml:space="preserve">기납품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WenQuanYi Zen Hei"/>
        <family val="2"/>
      </rPr>
      <t xml:space="preserve">매출 대용치</t>
    </r>
    <r>
      <rPr>
        <b val="true"/>
        <sz val="11"/>
        <rFont val="Arial"/>
        <family val="0"/>
        <charset val="1"/>
      </rPr>
      <t xml:space="preserve">) (</t>
    </r>
    <r>
      <rPr>
        <b val="true"/>
        <sz val="11"/>
        <rFont val="WenQuanYi Zen Hei"/>
        <family val="2"/>
      </rPr>
      <t xml:space="preserve">단위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WenQuanYi Zen Hei"/>
        <family val="2"/>
      </rPr>
      <t xml:space="preserve">십억원</t>
    </r>
    <r>
      <rPr>
        <b val="true"/>
        <sz val="11"/>
        <rFont val="Arial"/>
        <family val="0"/>
        <charset val="1"/>
      </rPr>
      <t xml:space="preserve">)</t>
    </r>
  </si>
  <si>
    <t xml:space="preserve">합계</t>
  </si>
  <si>
    <r>
      <rPr>
        <sz val="9"/>
        <rFont val="Arial"/>
        <family val="0"/>
        <charset val="1"/>
      </rPr>
      <t xml:space="preserve">UAE </t>
    </r>
    <r>
      <rPr>
        <sz val="9"/>
        <rFont val="WenQuanYi Zen Hei"/>
        <family val="2"/>
      </rPr>
      <t xml:space="preserve">천궁 </t>
    </r>
    <r>
      <rPr>
        <sz val="9"/>
        <rFont val="Arial"/>
        <family val="0"/>
        <charset val="1"/>
      </rPr>
      <t xml:space="preserve">M-sam </t>
    </r>
    <r>
      <rPr>
        <sz val="9"/>
        <rFont val="WenQuanYi Zen Hei"/>
        <family val="2"/>
      </rPr>
      <t xml:space="preserve">발사대</t>
    </r>
  </si>
  <si>
    <r>
      <rPr>
        <sz val="9"/>
        <rFont val="WenQuanYi Zen Hei"/>
        <family val="2"/>
      </rPr>
      <t xml:space="preserve">루마니아 </t>
    </r>
    <r>
      <rPr>
        <sz val="9"/>
        <rFont val="Arial"/>
        <family val="0"/>
        <charset val="1"/>
      </rPr>
      <t xml:space="preserve">K9</t>
    </r>
  </si>
  <si>
    <r>
      <rPr>
        <sz val="9"/>
        <rFont val="WenQuanYi Zen Hei"/>
        <family val="2"/>
      </rPr>
      <t xml:space="preserve">방산수출 이행약정</t>
    </r>
    <r>
      <rPr>
        <sz val="9"/>
        <rFont val="Arial"/>
        <family val="0"/>
        <charset val="1"/>
      </rPr>
      <t xml:space="preserve">(KOTRA)</t>
    </r>
  </si>
  <si>
    <r>
      <rPr>
        <sz val="9"/>
        <rFont val="WenQuanYi Zen Hei"/>
        <family val="2"/>
      </rPr>
      <t xml:space="preserve">방산수출 이행약정</t>
    </r>
    <r>
      <rPr>
        <sz val="9"/>
        <rFont val="Arial"/>
        <family val="0"/>
        <charset val="1"/>
      </rPr>
      <t xml:space="preserve">(KOTRA-</t>
    </r>
    <r>
      <rPr>
        <sz val="9"/>
        <rFont val="WenQuanYi Zen Hei"/>
        <family val="2"/>
      </rPr>
      <t xml:space="preserve">에스토니아 천무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</si>
  <si>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방산수출 이행약정</t>
    </r>
    <r>
      <rPr>
        <sz val="9"/>
        <rFont val="Arial"/>
        <family val="0"/>
        <charset val="1"/>
      </rPr>
      <t xml:space="preserve">(KOTRA-</t>
    </r>
    <r>
      <rPr>
        <sz val="9"/>
        <rFont val="WenQuanYi Zen Hei"/>
        <family val="2"/>
      </rPr>
      <t xml:space="preserve">핀란드 </t>
    </r>
    <r>
      <rPr>
        <sz val="9"/>
        <rFont val="Arial"/>
        <family val="0"/>
        <charset val="1"/>
      </rPr>
      <t xml:space="preserve">K9)</t>
    </r>
  </si>
  <si>
    <r>
      <rPr>
        <sz val="9"/>
        <rFont val="WenQuanYi Zen Hei"/>
        <family val="2"/>
      </rPr>
      <t xml:space="preserve">에스토니아 </t>
    </r>
    <r>
      <rPr>
        <sz val="9"/>
        <rFont val="Arial"/>
        <family val="0"/>
        <charset val="1"/>
      </rPr>
      <t xml:space="preserve">K9 </t>
    </r>
    <r>
      <rPr>
        <sz val="9"/>
        <rFont val="WenQuanYi Zen Hei"/>
        <family val="2"/>
      </rPr>
      <t xml:space="preserve">수출</t>
    </r>
  </si>
  <si>
    <r>
      <rPr>
        <sz val="9"/>
        <rFont val="WenQuanYi Zen Hei"/>
        <family val="2"/>
      </rPr>
      <t xml:space="preserve">유도무기류 공급계약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중동지역국가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</si>
  <si>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이집트 </t>
    </r>
    <r>
      <rPr>
        <sz val="9"/>
        <rFont val="Arial"/>
        <family val="0"/>
        <charset val="1"/>
      </rPr>
      <t xml:space="preserve">K9</t>
    </r>
  </si>
  <si>
    <r>
      <rPr>
        <sz val="9"/>
        <rFont val="WenQuanYi Zen Hei"/>
        <family val="2"/>
      </rPr>
      <t xml:space="preserve">인도 </t>
    </r>
    <r>
      <rPr>
        <sz val="9"/>
        <rFont val="Arial"/>
        <family val="0"/>
        <charset val="1"/>
      </rPr>
      <t xml:space="preserve">K9 </t>
    </r>
    <r>
      <rPr>
        <sz val="9"/>
        <rFont val="WenQuanYi Zen Hei"/>
        <family val="2"/>
      </rPr>
      <t xml:space="preserve">자주포 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차 수출사업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구성품 공급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</si>
  <si>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폴란드 자주포용 </t>
    </r>
    <r>
      <rPr>
        <sz val="9"/>
        <rFont val="Arial"/>
        <family val="0"/>
        <charset val="1"/>
      </rPr>
      <t xml:space="preserve">K9 </t>
    </r>
    <r>
      <rPr>
        <sz val="9"/>
        <rFont val="WenQuanYi Zen Hei"/>
        <family val="2"/>
      </rPr>
      <t xml:space="preserve">차체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부품 수출</t>
    </r>
  </si>
  <si>
    <r>
      <rPr>
        <sz val="9"/>
        <rFont val="WenQuanYi Zen Hei"/>
        <family val="2"/>
      </rPr>
      <t xml:space="preserve">핀란드 </t>
    </r>
    <r>
      <rPr>
        <sz val="9"/>
        <rFont val="Arial"/>
        <family val="0"/>
        <charset val="1"/>
      </rPr>
      <t xml:space="preserve">K9 </t>
    </r>
    <r>
      <rPr>
        <sz val="9"/>
        <rFont val="WenQuanYi Zen Hei"/>
        <family val="2"/>
      </rPr>
      <t xml:space="preserve">수출</t>
    </r>
  </si>
  <si>
    <r>
      <rPr>
        <sz val="9"/>
        <rFont val="WenQuanYi Zen Hei"/>
        <family val="2"/>
      </rPr>
      <t xml:space="preserve">호주 </t>
    </r>
    <r>
      <rPr>
        <sz val="9"/>
        <rFont val="Arial"/>
        <family val="0"/>
        <charset val="1"/>
      </rPr>
      <t xml:space="preserve">K9</t>
    </r>
  </si>
  <si>
    <r>
      <rPr>
        <sz val="9"/>
        <rFont val="WenQuanYi Zen Hei"/>
        <family val="2"/>
      </rPr>
      <t xml:space="preserve">호주 </t>
    </r>
    <r>
      <rPr>
        <sz val="9"/>
        <rFont val="Arial"/>
        <family val="0"/>
        <charset val="1"/>
      </rPr>
      <t xml:space="preserve">Land 400 Ph.3 </t>
    </r>
    <r>
      <rPr>
        <sz val="9"/>
        <rFont val="WenQuanYi Zen Hei"/>
        <family val="2"/>
      </rPr>
      <t xml:space="preserve">보병전투차량</t>
    </r>
  </si>
  <si>
    <r>
      <rPr>
        <sz val="9"/>
        <rFont val="Arial"/>
        <family val="0"/>
        <charset val="1"/>
      </rPr>
      <t xml:space="preserve">120</t>
    </r>
    <r>
      <rPr>
        <sz val="9"/>
        <rFont val="WenQuanYi Zen Hei"/>
        <family val="2"/>
      </rPr>
      <t xml:space="preserve">밀리 사격지휘차 양산</t>
    </r>
  </si>
  <si>
    <r>
      <rPr>
        <sz val="9"/>
        <rFont val="Arial"/>
        <family val="0"/>
        <charset val="1"/>
      </rPr>
      <t xml:space="preserve">120</t>
    </r>
    <r>
      <rPr>
        <sz val="9"/>
        <rFont val="WenQuanYi Zen Hei"/>
        <family val="2"/>
      </rPr>
      <t xml:space="preserve">밀리 자주박격포 양산</t>
    </r>
  </si>
  <si>
    <r>
      <rPr>
        <sz val="9"/>
        <rFont val="Arial"/>
        <family val="0"/>
        <charset val="1"/>
      </rPr>
      <t xml:space="preserve">230mm </t>
    </r>
    <r>
      <rPr>
        <sz val="9"/>
        <rFont val="WenQuanYi Zen Hei"/>
        <family val="2"/>
      </rPr>
      <t xml:space="preserve">다련장 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차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국내 천무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</si>
  <si>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30</t>
    </r>
    <r>
      <rPr>
        <sz val="9"/>
        <rFont val="WenQuanYi Zen Hei"/>
        <family val="2"/>
      </rPr>
      <t xml:space="preserve">밀리 복합대공화기 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차양산</t>
    </r>
  </si>
  <si>
    <r>
      <rPr>
        <sz val="9"/>
        <rFont val="Arial"/>
        <family val="0"/>
        <charset val="1"/>
      </rPr>
      <t xml:space="preserve">IM3 </t>
    </r>
    <r>
      <rPr>
        <sz val="9"/>
        <rFont val="WenQuanYi Zen Hei"/>
        <family val="2"/>
      </rPr>
      <t xml:space="preserve">사업 발사대 분야 양산</t>
    </r>
  </si>
  <si>
    <r>
      <rPr>
        <sz val="9"/>
        <rFont val="Arial"/>
        <family val="0"/>
        <charset val="1"/>
      </rPr>
      <t xml:space="preserve">K-56 </t>
    </r>
    <r>
      <rPr>
        <sz val="9"/>
        <rFont val="WenQuanYi Zen Hei"/>
        <family val="2"/>
      </rPr>
      <t xml:space="preserve">탄약운반차 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차양산</t>
    </r>
  </si>
  <si>
    <r>
      <rPr>
        <sz val="9"/>
        <rFont val="Arial"/>
        <family val="0"/>
        <charset val="1"/>
      </rPr>
      <t xml:space="preserve">K10 </t>
    </r>
    <r>
      <rPr>
        <sz val="9"/>
        <rFont val="WenQuanYi Zen Hei"/>
        <family val="2"/>
      </rPr>
      <t xml:space="preserve">정비 </t>
    </r>
    <r>
      <rPr>
        <sz val="9"/>
        <rFont val="Arial"/>
        <family val="0"/>
        <charset val="1"/>
      </rPr>
      <t xml:space="preserve">('22</t>
    </r>
    <r>
      <rPr>
        <sz val="9"/>
        <rFont val="WenQuanYi Zen Hei"/>
        <family val="2"/>
      </rPr>
      <t xml:space="preserve">년</t>
    </r>
    <r>
      <rPr>
        <sz val="9"/>
        <rFont val="Arial"/>
        <family val="0"/>
        <charset val="1"/>
      </rPr>
      <t xml:space="preserve">)</t>
    </r>
  </si>
  <si>
    <r>
      <rPr>
        <sz val="9"/>
        <rFont val="Arial"/>
        <family val="0"/>
        <charset val="1"/>
      </rPr>
      <t xml:space="preserve">K105A1 2</t>
    </r>
    <r>
      <rPr>
        <sz val="9"/>
        <rFont val="WenQuanYi Zen Hei"/>
        <family val="2"/>
      </rPr>
      <t xml:space="preserve">차 양산 사업</t>
    </r>
  </si>
  <si>
    <r>
      <rPr>
        <sz val="9"/>
        <rFont val="Arial"/>
        <family val="0"/>
        <charset val="1"/>
      </rPr>
      <t xml:space="preserve">K105A1 </t>
    </r>
    <r>
      <rPr>
        <sz val="9"/>
        <rFont val="WenQuanYi Zen Hei"/>
        <family val="2"/>
      </rPr>
      <t xml:space="preserve">자주포 </t>
    </r>
    <r>
      <rPr>
        <sz val="9"/>
        <rFont val="Arial"/>
        <family val="0"/>
        <charset val="1"/>
      </rPr>
      <t xml:space="preserve">3</t>
    </r>
    <r>
      <rPr>
        <sz val="9"/>
        <rFont val="WenQuanYi Zen Hei"/>
        <family val="2"/>
      </rPr>
      <t xml:space="preserve">차양산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주장비</t>
    </r>
    <r>
      <rPr>
        <sz val="9"/>
        <rFont val="Arial"/>
        <family val="0"/>
        <charset val="1"/>
      </rPr>
      <t xml:space="preserve">) </t>
    </r>
    <r>
      <rPr>
        <sz val="9"/>
        <rFont val="WenQuanYi Zen Hei"/>
        <family val="2"/>
      </rPr>
      <t xml:space="preserve">외 </t>
    </r>
    <r>
      <rPr>
        <sz val="9"/>
        <rFont val="Arial"/>
        <family val="0"/>
        <charset val="1"/>
      </rPr>
      <t xml:space="preserve">20</t>
    </r>
    <r>
      <rPr>
        <sz val="9"/>
        <rFont val="WenQuanYi Zen Hei"/>
        <family val="2"/>
      </rPr>
      <t xml:space="preserve">항목</t>
    </r>
  </si>
  <si>
    <r>
      <rPr>
        <sz val="9"/>
        <rFont val="Arial"/>
        <family val="0"/>
        <charset val="1"/>
      </rPr>
      <t xml:space="preserve">K200</t>
    </r>
    <r>
      <rPr>
        <sz val="9"/>
        <rFont val="WenQuanYi Zen Hei"/>
        <family val="2"/>
      </rPr>
      <t xml:space="preserve">계열 성능개량</t>
    </r>
  </si>
  <si>
    <r>
      <rPr>
        <sz val="9"/>
        <rFont val="Arial"/>
        <family val="0"/>
        <charset val="1"/>
      </rPr>
      <t xml:space="preserve">K21 </t>
    </r>
    <r>
      <rPr>
        <sz val="9"/>
        <rFont val="WenQuanYi Zen Hei"/>
        <family val="2"/>
      </rPr>
      <t xml:space="preserve">보병전투차량 </t>
    </r>
    <r>
      <rPr>
        <sz val="9"/>
        <rFont val="Arial"/>
        <family val="0"/>
        <charset val="1"/>
      </rPr>
      <t xml:space="preserve">4</t>
    </r>
    <r>
      <rPr>
        <sz val="9"/>
        <rFont val="WenQuanYi Zen Hei"/>
        <family val="2"/>
      </rPr>
      <t xml:space="preserve">차양산</t>
    </r>
  </si>
  <si>
    <r>
      <rPr>
        <sz val="9"/>
        <rFont val="Arial"/>
        <family val="0"/>
        <charset val="1"/>
      </rPr>
      <t xml:space="preserve">K21</t>
    </r>
    <r>
      <rPr>
        <sz val="9"/>
        <rFont val="WenQuanYi Zen Hei"/>
        <family val="2"/>
      </rPr>
      <t xml:space="preserve">보병전투차량 </t>
    </r>
    <r>
      <rPr>
        <sz val="9"/>
        <rFont val="Arial"/>
        <family val="0"/>
        <charset val="1"/>
      </rPr>
      <t xml:space="preserve">PBL</t>
    </r>
  </si>
  <si>
    <r>
      <rPr>
        <sz val="9"/>
        <rFont val="Arial"/>
        <family val="0"/>
        <charset val="1"/>
      </rPr>
      <t xml:space="preserve">K56 </t>
    </r>
    <r>
      <rPr>
        <sz val="9"/>
        <rFont val="WenQuanYi Zen Hei"/>
        <family val="2"/>
      </rPr>
      <t xml:space="preserve">탄약운반장갑운차 </t>
    </r>
    <r>
      <rPr>
        <sz val="9"/>
        <rFont val="Arial"/>
        <family val="0"/>
        <charset val="1"/>
      </rPr>
      <t xml:space="preserve">5</t>
    </r>
    <r>
      <rPr>
        <sz val="9"/>
        <rFont val="WenQuanYi Zen Hei"/>
        <family val="2"/>
      </rPr>
      <t xml:space="preserve">차 양산</t>
    </r>
  </si>
  <si>
    <r>
      <rPr>
        <sz val="9"/>
        <rFont val="Arial"/>
        <family val="0"/>
        <charset val="1"/>
      </rPr>
      <t xml:space="preserve">K9 </t>
    </r>
    <r>
      <rPr>
        <sz val="9"/>
        <rFont val="WenQuanYi Zen Hei"/>
        <family val="2"/>
      </rPr>
      <t xml:space="preserve">자주포 </t>
    </r>
    <r>
      <rPr>
        <sz val="9"/>
        <rFont val="Arial"/>
        <family val="0"/>
        <charset val="1"/>
      </rPr>
      <t xml:space="preserve">PBL 1</t>
    </r>
    <r>
      <rPr>
        <sz val="9"/>
        <rFont val="WenQuanYi Zen Hei"/>
        <family val="2"/>
      </rPr>
      <t xml:space="preserve">차 사업</t>
    </r>
  </si>
  <si>
    <r>
      <rPr>
        <sz val="9"/>
        <rFont val="Arial"/>
        <family val="0"/>
        <charset val="1"/>
      </rPr>
      <t xml:space="preserve">K9 </t>
    </r>
    <r>
      <rPr>
        <sz val="9"/>
        <rFont val="WenQuanYi Zen Hei"/>
        <family val="2"/>
      </rPr>
      <t xml:space="preserve">자주포 </t>
    </r>
    <r>
      <rPr>
        <sz val="9"/>
        <rFont val="Arial"/>
        <family val="0"/>
        <charset val="1"/>
      </rPr>
      <t xml:space="preserve">PBL 2</t>
    </r>
    <r>
      <rPr>
        <sz val="9"/>
        <rFont val="WenQuanYi Zen Hei"/>
        <family val="2"/>
      </rPr>
      <t xml:space="preserve">차 사업</t>
    </r>
  </si>
  <si>
    <r>
      <rPr>
        <sz val="9"/>
        <rFont val="Arial"/>
        <family val="0"/>
        <charset val="1"/>
      </rPr>
      <t xml:space="preserve">K9A1 </t>
    </r>
    <r>
      <rPr>
        <sz val="9"/>
        <rFont val="WenQuanYi Zen Hei"/>
        <family val="2"/>
      </rPr>
      <t xml:space="preserve">외주정비</t>
    </r>
    <r>
      <rPr>
        <sz val="9"/>
        <rFont val="Arial"/>
        <family val="0"/>
        <charset val="1"/>
      </rPr>
      <t xml:space="preserve">('22)</t>
    </r>
  </si>
  <si>
    <r>
      <rPr>
        <sz val="9"/>
        <rFont val="Arial"/>
        <family val="0"/>
        <charset val="1"/>
      </rPr>
      <t xml:space="preserve">KAAV-P </t>
    </r>
    <r>
      <rPr>
        <sz val="9"/>
        <rFont val="WenQuanYi Zen Hei"/>
        <family val="2"/>
      </rPr>
      <t xml:space="preserve">외주정비</t>
    </r>
  </si>
  <si>
    <r>
      <rPr>
        <sz val="9"/>
        <rFont val="Arial"/>
        <family val="0"/>
        <charset val="1"/>
      </rPr>
      <t xml:space="preserve">L-SAM </t>
    </r>
    <r>
      <rPr>
        <sz val="9"/>
        <rFont val="WenQuanYi Zen Hei"/>
        <family val="2"/>
      </rPr>
      <t xml:space="preserve">양산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발사대</t>
    </r>
    <r>
      <rPr>
        <sz val="9"/>
        <rFont val="Arial"/>
        <family val="0"/>
        <charset val="1"/>
      </rPr>
      <t xml:space="preserve">,ABM)</t>
    </r>
  </si>
  <si>
    <r>
      <rPr>
        <sz val="9"/>
        <rFont val="Arial"/>
        <family val="0"/>
        <charset val="1"/>
      </rPr>
      <t xml:space="preserve">SA-MSAM </t>
    </r>
    <r>
      <rPr>
        <sz val="9"/>
        <rFont val="WenQuanYi Zen Hei"/>
        <family val="2"/>
      </rPr>
      <t xml:space="preserve">사업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발사대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탄내구성품</t>
    </r>
    <r>
      <rPr>
        <sz val="9"/>
        <rFont val="Arial"/>
        <family val="0"/>
        <charset val="1"/>
      </rPr>
      <t xml:space="preserve">, </t>
    </r>
    <r>
      <rPr>
        <sz val="9"/>
        <rFont val="WenQuanYi Zen Hei"/>
        <family val="2"/>
      </rPr>
      <t xml:space="preserve">발사관 분야 양산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</si>
  <si>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차륜형대공포 양산</t>
    </r>
    <r>
      <rPr>
        <sz val="9"/>
        <rFont val="Arial"/>
        <family val="0"/>
        <charset val="1"/>
      </rPr>
      <t xml:space="preserve">(1</t>
    </r>
    <r>
      <rPr>
        <sz val="9"/>
        <rFont val="WenQuanYi Zen Hei"/>
        <family val="2"/>
      </rPr>
      <t xml:space="preserve">차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</si>
  <si>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천마외주정비 </t>
    </r>
    <r>
      <rPr>
        <sz val="9"/>
        <rFont val="Arial"/>
        <family val="0"/>
        <charset val="1"/>
      </rPr>
      <t xml:space="preserve">('20</t>
    </r>
    <r>
      <rPr>
        <sz val="9"/>
        <rFont val="WenQuanYi Zen Hei"/>
        <family val="2"/>
      </rPr>
      <t xml:space="preserve">년 계약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</si>
  <si>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천마외주정비</t>
    </r>
    <r>
      <rPr>
        <sz val="9"/>
        <rFont val="Arial"/>
        <family val="0"/>
        <charset val="1"/>
      </rPr>
      <t xml:space="preserve">('23)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</si>
</sst>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9"/>
      <name val="WenQuanYi Zen Hei"/>
      <family val="2"/>
    </font>
    <font>
      <b val="true"/>
      <sz val="9"/>
      <name val="Arial"/>
      <family val="0"/>
      <charset val="1"/>
    </font>
    <font>
      <sz val="9"/>
      <name val="WenQuanYi Zen Hei"/>
      <family val="2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14" min="2" style="0" width="1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customFormat="false" ht="15" hidden="false" customHeight="fals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</row>
    <row r="5" customFormat="false" ht="15" hidden="false" customHeight="false" outlineLevel="0" collapsed="false">
      <c r="A5" s="2" t="s">
        <v>16</v>
      </c>
      <c r="B5" s="6" t="n">
        <v>368.4</v>
      </c>
      <c r="C5" s="6" t="n">
        <v>464.2</v>
      </c>
      <c r="D5" s="6" t="n">
        <v>566.5</v>
      </c>
      <c r="E5" s="6" t="n">
        <v>1213.6</v>
      </c>
      <c r="F5" s="6" t="n">
        <v>352.1</v>
      </c>
      <c r="G5" s="6" t="n">
        <v>569.5</v>
      </c>
      <c r="H5" s="6" t="n">
        <v>686</v>
      </c>
      <c r="I5" s="6" t="n">
        <v>1544</v>
      </c>
      <c r="J5" s="6" t="n">
        <v>405</v>
      </c>
      <c r="K5" s="6" t="n">
        <v>689.8</v>
      </c>
      <c r="L5" s="6" t="n">
        <v>912.8</v>
      </c>
      <c r="M5" s="6" t="n">
        <v>1463.7</v>
      </c>
      <c r="N5" s="6" t="n">
        <v>1444.8</v>
      </c>
    </row>
    <row r="6" customFormat="false" ht="15" hidden="false" customHeight="false" outlineLevel="0" collapsed="false">
      <c r="A6" s="2" t="s">
        <v>17</v>
      </c>
      <c r="B6" s="6" t="n">
        <v>473.1</v>
      </c>
      <c r="C6" s="6" t="n">
        <v>135.9</v>
      </c>
      <c r="D6" s="6" t="n">
        <v>196.2</v>
      </c>
      <c r="E6" s="6" t="n">
        <v>714.5</v>
      </c>
      <c r="F6" s="6" t="n">
        <v>303.1</v>
      </c>
      <c r="G6" s="6" t="n">
        <v>760.1</v>
      </c>
      <c r="H6" s="6" t="n">
        <v>970</v>
      </c>
      <c r="I6" s="6" t="n">
        <v>1821.4</v>
      </c>
      <c r="J6" s="6" t="n">
        <v>752.5</v>
      </c>
      <c r="K6" s="6" t="n">
        <v>1083.4</v>
      </c>
      <c r="L6" s="6" t="n">
        <v>1197</v>
      </c>
      <c r="M6" s="6" t="n">
        <v>1628.8</v>
      </c>
      <c r="N6" s="6" t="n">
        <v>1883.8</v>
      </c>
    </row>
    <row r="7" customFormat="false" ht="15" hidden="false" customHeight="false" outlineLevel="0" collapsed="false">
      <c r="A7" s="7" t="s">
        <v>18</v>
      </c>
      <c r="B7" s="8" t="n">
        <f aca="false">B5+B6</f>
        <v>841.5</v>
      </c>
      <c r="C7" s="8" t="n">
        <f aca="false">C5+C6</f>
        <v>600.1</v>
      </c>
      <c r="D7" s="8" t="n">
        <f aca="false">D5+D6</f>
        <v>762.7</v>
      </c>
      <c r="E7" s="8" t="n">
        <f aca="false">E5+E6</f>
        <v>1928.1</v>
      </c>
      <c r="F7" s="8" t="n">
        <f aca="false">F5+F6</f>
        <v>655.2</v>
      </c>
      <c r="G7" s="8" t="n">
        <f aca="false">G5+G6</f>
        <v>1329.6</v>
      </c>
      <c r="H7" s="8" t="n">
        <f aca="false">H5+H6</f>
        <v>1656</v>
      </c>
      <c r="I7" s="8" t="n">
        <f aca="false">I5+I6</f>
        <v>3365.4</v>
      </c>
      <c r="J7" s="8" t="n">
        <f aca="false">J5+J6</f>
        <v>1157.5</v>
      </c>
      <c r="K7" s="8" t="n">
        <f aca="false">K5+K6</f>
        <v>1773.2</v>
      </c>
      <c r="L7" s="8" t="n">
        <f aca="false">L5+L6</f>
        <v>2109.8</v>
      </c>
      <c r="M7" s="8" t="n">
        <f aca="false">M5+M6</f>
        <v>3092.5</v>
      </c>
      <c r="N7" s="8" t="n">
        <f aca="false">N5+N6</f>
        <v>3328.6</v>
      </c>
    </row>
    <row r="8" customFormat="false" ht="15" hidden="false" customHeight="false" outlineLevel="0" collapsed="false">
      <c r="A8" s="2" t="s">
        <v>19</v>
      </c>
      <c r="B8" s="6" t="n">
        <v>46.2</v>
      </c>
      <c r="C8" s="6" t="n">
        <v>100.3</v>
      </c>
      <c r="D8" s="6" t="n">
        <v>26.7</v>
      </c>
      <c r="E8" s="6" t="n">
        <v>89.2</v>
      </c>
      <c r="F8" s="6" t="n">
        <v>15.3</v>
      </c>
      <c r="G8" s="6" t="n">
        <v>43.2</v>
      </c>
      <c r="H8" s="6" t="n">
        <v>100</v>
      </c>
      <c r="I8" s="6" t="n">
        <v>345.6</v>
      </c>
      <c r="J8" s="6" t="n">
        <v>120.9</v>
      </c>
      <c r="K8" s="6" t="n">
        <v>179</v>
      </c>
      <c r="L8" s="6" t="n">
        <v>300.5</v>
      </c>
      <c r="M8" s="6" t="n">
        <v>381.4</v>
      </c>
      <c r="N8" s="6" t="n">
        <v>743.1</v>
      </c>
    </row>
    <row r="9" customFormat="false" ht="15" hidden="false" customHeight="false" outlineLevel="0" collapsed="false">
      <c r="A9" s="2" t="s">
        <v>20</v>
      </c>
      <c r="B9" s="6" t="n">
        <v>100.7</v>
      </c>
      <c r="C9" s="6" t="n">
        <v>235.6</v>
      </c>
      <c r="D9" s="6" t="n">
        <v>224</v>
      </c>
      <c r="E9" s="6" t="n">
        <v>468.9</v>
      </c>
      <c r="F9" s="6" t="n">
        <v>69.4</v>
      </c>
      <c r="G9" s="6" t="n">
        <v>198.5</v>
      </c>
      <c r="H9" s="6" t="n">
        <v>320.3</v>
      </c>
      <c r="I9" s="6" t="n">
        <v>489.8</v>
      </c>
      <c r="J9" s="6" t="n">
        <v>72.7</v>
      </c>
      <c r="K9" s="6" t="n">
        <v>212.8</v>
      </c>
      <c r="L9" s="6" t="n">
        <v>340.3</v>
      </c>
      <c r="M9" s="6" t="n">
        <v>737.6</v>
      </c>
      <c r="N9" s="6" t="n">
        <v>280.4</v>
      </c>
    </row>
    <row r="10" customFormat="false" ht="15" hidden="false" customHeight="false" outlineLevel="0" collapsed="false">
      <c r="A10" s="4" t="s">
        <v>21</v>
      </c>
      <c r="B10" s="8" t="n">
        <f aca="false">B6-B8</f>
        <v>426.9</v>
      </c>
      <c r="C10" s="8" t="n">
        <f aca="false">C6-C8</f>
        <v>35.6</v>
      </c>
      <c r="D10" s="8" t="n">
        <f aca="false">D6-D8</f>
        <v>169.5</v>
      </c>
      <c r="E10" s="8" t="n">
        <f aca="false">E6-E8</f>
        <v>625.3</v>
      </c>
      <c r="F10" s="8" t="n">
        <f aca="false">F6-F8</f>
        <v>287.8</v>
      </c>
      <c r="G10" s="8" t="n">
        <f aca="false">G6-G8</f>
        <v>716.9</v>
      </c>
      <c r="H10" s="8" t="n">
        <f aca="false">H6-H8</f>
        <v>870</v>
      </c>
      <c r="I10" s="8" t="n">
        <f aca="false">I6-I8</f>
        <v>1475.8</v>
      </c>
      <c r="J10" s="8" t="n">
        <f aca="false">J6-J8</f>
        <v>631.6</v>
      </c>
      <c r="K10" s="8" t="n">
        <f aca="false">K6-K8</f>
        <v>904.4</v>
      </c>
      <c r="L10" s="8" t="n">
        <f aca="false">L6-L8</f>
        <v>896.5</v>
      </c>
      <c r="M10" s="8" t="n">
        <f aca="false">M6-M8</f>
        <v>1247.4</v>
      </c>
      <c r="N10" s="8" t="n">
        <f aca="false">N6-N8</f>
        <v>1140.7</v>
      </c>
    </row>
    <row r="11" customFormat="false" ht="15" hidden="false" customHeight="false" outlineLevel="0" collapsed="false">
      <c r="A11" s="9" t="s">
        <v>22</v>
      </c>
      <c r="B11" s="10" t="n">
        <f aca="false">IF(B6=0,0,B10/B6)</f>
        <v>0.902346227013317</v>
      </c>
      <c r="C11" s="10" t="n">
        <f aca="false">IF(C6=0,0,C10/C6)</f>
        <v>0.261957321559971</v>
      </c>
      <c r="D11" s="10" t="n">
        <f aca="false">IF(D6=0,0,D10/D6)</f>
        <v>0.863914373088685</v>
      </c>
      <c r="E11" s="10" t="n">
        <f aca="false">IF(E6=0,0,E10/E6)</f>
        <v>0.875157452764171</v>
      </c>
      <c r="F11" s="10" t="n">
        <f aca="false">IF(F6=0,0,F10/F6)</f>
        <v>0.949521610029693</v>
      </c>
      <c r="G11" s="10" t="n">
        <f aca="false">IF(G6=0,0,G10/G6)</f>
        <v>0.94316537297724</v>
      </c>
      <c r="H11" s="10" t="n">
        <f aca="false">IF(H6=0,0,H10/H6)</f>
        <v>0.896907216494845</v>
      </c>
      <c r="I11" s="10" t="n">
        <f aca="false">IF(I6=0,0,I10/I6)</f>
        <v>0.810255847150544</v>
      </c>
      <c r="J11" s="10" t="n">
        <f aca="false">IF(J6=0,0,J10/J6)</f>
        <v>0.839335548172758</v>
      </c>
      <c r="K11" s="10" t="n">
        <f aca="false">IF(K6=0,0,K10/K6)</f>
        <v>0.834779398190881</v>
      </c>
      <c r="L11" s="10" t="n">
        <f aca="false">IF(L6=0,0,L10/L6)</f>
        <v>0.748955722639933</v>
      </c>
      <c r="M11" s="10" t="n">
        <f aca="false">IF(M6=0,0,M10/M6)</f>
        <v>0.765839882121808</v>
      </c>
      <c r="N11" s="10" t="n">
        <f aca="false">IF(N6=0,0,N10/N6)</f>
        <v>0.605531372757193</v>
      </c>
    </row>
    <row r="12" customFormat="false" ht="15" hidden="false" customHeight="false" outlineLevel="0" collapsed="false">
      <c r="A12" s="4" t="s">
        <v>23</v>
      </c>
      <c r="B12" s="8" t="n">
        <f aca="false">B5-B9</f>
        <v>267.7</v>
      </c>
      <c r="C12" s="8" t="n">
        <f aca="false">C5-C9</f>
        <v>228.6</v>
      </c>
      <c r="D12" s="8" t="n">
        <f aca="false">D5-D9</f>
        <v>342.5</v>
      </c>
      <c r="E12" s="8" t="n">
        <f aca="false">E5-E9</f>
        <v>744.7</v>
      </c>
      <c r="F12" s="8" t="n">
        <f aca="false">F5-F9</f>
        <v>282.7</v>
      </c>
      <c r="G12" s="8" t="n">
        <f aca="false">G5-G9</f>
        <v>371</v>
      </c>
      <c r="H12" s="8" t="n">
        <f aca="false">H5-H9</f>
        <v>365.7</v>
      </c>
      <c r="I12" s="8" t="n">
        <f aca="false">I5-I9</f>
        <v>1054.2</v>
      </c>
      <c r="J12" s="8" t="n">
        <f aca="false">J5-J9</f>
        <v>332.3</v>
      </c>
      <c r="K12" s="8" t="n">
        <f aca="false">K5-K9</f>
        <v>477</v>
      </c>
      <c r="L12" s="8" t="n">
        <f aca="false">L5-L9</f>
        <v>572.5</v>
      </c>
      <c r="M12" s="8" t="n">
        <f aca="false">M5-M9</f>
        <v>726.1</v>
      </c>
      <c r="N12" s="8" t="n">
        <f aca="false">N5-N9</f>
        <v>1164.4</v>
      </c>
    </row>
    <row r="13" customFormat="false" ht="15" hidden="false" customHeight="false" outlineLevel="0" collapsed="false">
      <c r="A13" s="2" t="s">
        <v>24</v>
      </c>
      <c r="B13" s="6" t="n">
        <v>19723</v>
      </c>
      <c r="C13" s="6" t="n">
        <v>19466.8</v>
      </c>
      <c r="D13" s="6" t="n">
        <v>20006.6</v>
      </c>
      <c r="E13" s="6" t="n">
        <v>27856.6</v>
      </c>
      <c r="F13" s="6" t="n">
        <v>29815.4</v>
      </c>
      <c r="G13" s="6" t="n">
        <v>30270.2</v>
      </c>
      <c r="H13" s="6" t="n">
        <v>29941.8</v>
      </c>
      <c r="I13" s="6" t="n">
        <v>31403</v>
      </c>
      <c r="J13" s="6" t="n">
        <v>31381.8</v>
      </c>
      <c r="K13" s="6" t="n">
        <v>31735.7</v>
      </c>
      <c r="L13" s="6" t="n">
        <v>30891.5</v>
      </c>
      <c r="M13" s="6" t="n">
        <v>37219.9</v>
      </c>
      <c r="N13" s="6" t="n">
        <v>38307.3</v>
      </c>
    </row>
    <row r="14" customFormat="false" ht="15" hidden="false" customHeight="false" outlineLevel="0" collapsed="false">
      <c r="A14" s="4" t="s">
        <v>25</v>
      </c>
      <c r="B14" s="6" t="n">
        <v>683.9</v>
      </c>
      <c r="C14" s="8" t="n">
        <f aca="false">C7+C13-B13</f>
        <v>343.899999999998</v>
      </c>
      <c r="D14" s="8" t="n">
        <f aca="false">D7+D13-C13</f>
        <v>1302.5</v>
      </c>
      <c r="E14" s="8" t="n">
        <f aca="false">E7+E13-D13</f>
        <v>9778.1</v>
      </c>
      <c r="F14" s="8" t="n">
        <f aca="false">F7+F13-E13</f>
        <v>2614</v>
      </c>
      <c r="G14" s="8" t="n">
        <f aca="false">G7+G13-F13</f>
        <v>1784.4</v>
      </c>
      <c r="H14" s="8" t="n">
        <f aca="false">H7+H13-G13</f>
        <v>1327.6</v>
      </c>
      <c r="I14" s="8" t="n">
        <f aca="false">I7+I13-H13</f>
        <v>4826.6</v>
      </c>
      <c r="J14" s="8" t="n">
        <f aca="false">J7+J13-I13</f>
        <v>1136.3</v>
      </c>
      <c r="K14" s="8" t="n">
        <f aca="false">K7+K13-J13</f>
        <v>2127.1</v>
      </c>
      <c r="L14" s="8" t="n">
        <f aca="false">L7+L13-K13</f>
        <v>1265.6</v>
      </c>
      <c r="M14" s="8" t="n">
        <f aca="false">M7+M13-L13</f>
        <v>9420.9</v>
      </c>
      <c r="N14" s="8" t="n">
        <f aca="false">N7+N13-M13</f>
        <v>4416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customFormat="false" ht="15" hidden="false" customHeight="false" outlineLevel="0" collapsed="false">
      <c r="A16" s="3" t="s">
        <v>26</v>
      </c>
      <c r="B16" s="2"/>
      <c r="C16" s="2"/>
      <c r="D16" s="2"/>
      <c r="E16" s="11" t="s">
        <v>27</v>
      </c>
      <c r="F16" s="2"/>
      <c r="G16" s="2"/>
      <c r="H16" s="11" t="s">
        <v>28</v>
      </c>
      <c r="I16" s="2"/>
      <c r="J16" s="2"/>
      <c r="K16" s="3" t="s">
        <v>29</v>
      </c>
      <c r="L16" s="2"/>
      <c r="M16" s="2"/>
      <c r="N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customFormat="false" ht="15" hidden="false" customHeight="false" outlineLevel="0" collapsed="false">
      <c r="A18" s="3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customFormat="false" ht="15" hidden="false" customHeight="false" outlineLevel="0" collapsed="false">
      <c r="A19" s="3" t="s">
        <v>31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customFormat="false" ht="15" hidden="false" customHeight="false" outlineLevel="0" collapsed="false">
      <c r="A20" s="3" t="s">
        <v>32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customFormat="false" ht="15" hidden="false" customHeight="false" outlineLevel="0" collapsed="false">
      <c r="A21" s="3" t="s">
        <v>33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customFormat="false" ht="15" hidden="false" customHeight="false" outlineLevel="0" collapsed="false">
      <c r="A22" s="3" t="s">
        <v>34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6"/>
    <col collapsed="false" customWidth="true" hidden="false" outlineLevel="0" max="3" min="3" style="0" width="11"/>
    <col collapsed="false" customWidth="true" hidden="false" outlineLevel="0" max="18" min="4" style="0" width="9"/>
  </cols>
  <sheetData>
    <row r="1" customFormat="false" ht="15" hidden="false" customHeight="false" outlineLevel="0" collapsed="false">
      <c r="A1" s="12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" hidden="false" customHeight="false" outlineLevel="0" collapsed="false">
      <c r="A3" s="4" t="s">
        <v>36</v>
      </c>
      <c r="B3" s="4" t="s">
        <v>37</v>
      </c>
      <c r="C3" s="4" t="s">
        <v>2</v>
      </c>
      <c r="D3" s="5" t="s">
        <v>38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5" t="s">
        <v>14</v>
      </c>
      <c r="Q3" s="5" t="s">
        <v>39</v>
      </c>
      <c r="R3" s="13" t="s">
        <v>40</v>
      </c>
    </row>
    <row r="4" customFormat="false" ht="15" hidden="false" customHeight="false" outlineLevel="0" collapsed="false">
      <c r="A4" s="7" t="s">
        <v>41</v>
      </c>
      <c r="B4" s="9" t="s">
        <v>42</v>
      </c>
      <c r="C4" s="9" t="s">
        <v>43</v>
      </c>
      <c r="D4" s="6" t="n">
        <v>360.7</v>
      </c>
      <c r="E4" s="6" t="n">
        <v>360.7</v>
      </c>
      <c r="F4" s="6" t="n">
        <v>43.3</v>
      </c>
      <c r="G4" s="6" t="n">
        <v>44.3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customFormat="false" ht="15" hidden="false" customHeight="false" outlineLevel="0" collapsed="false">
      <c r="A5" s="2"/>
      <c r="B5" s="2"/>
      <c r="C5" s="9" t="s">
        <v>44</v>
      </c>
      <c r="D5" s="6" t="n">
        <v>2.1</v>
      </c>
      <c r="E5" s="6" t="n">
        <v>52.5</v>
      </c>
      <c r="F5" s="6" t="n">
        <v>27.2</v>
      </c>
      <c r="G5" s="6" t="n">
        <v>27.8</v>
      </c>
      <c r="H5" s="2"/>
      <c r="I5" s="2"/>
      <c r="J5" s="2"/>
      <c r="K5" s="2"/>
      <c r="L5" s="2"/>
      <c r="M5" s="2"/>
      <c r="N5" s="2"/>
      <c r="O5" s="2"/>
      <c r="P5" s="2"/>
      <c r="Q5" s="2"/>
      <c r="R5" s="10" t="str">
        <f aca="false">IF(Q4=0,"",Q5/Q4)</f>
        <v/>
      </c>
    </row>
    <row r="6" customFormat="false" ht="15" hidden="false" customHeight="false" outlineLevel="0" collapsed="false">
      <c r="A6" s="2"/>
      <c r="B6" s="2"/>
      <c r="C6" s="9" t="s">
        <v>45</v>
      </c>
      <c r="D6" s="6" t="n">
        <v>358.7</v>
      </c>
      <c r="E6" s="6" t="n">
        <v>308.2</v>
      </c>
      <c r="F6" s="6" t="n">
        <v>16.1</v>
      </c>
      <c r="G6" s="6" t="n">
        <v>16.5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customFormat="false" ht="15" hidden="false" customHeight="false" outlineLevel="0" collapsed="false">
      <c r="A7" s="4" t="s">
        <v>46</v>
      </c>
      <c r="B7" s="9" t="s">
        <v>42</v>
      </c>
      <c r="C7" s="9" t="s">
        <v>43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6" t="n">
        <v>1421.8</v>
      </c>
      <c r="R7" s="2"/>
    </row>
    <row r="8" customFormat="false" ht="15" hidden="false" customHeight="false" outlineLevel="0" collapsed="false">
      <c r="A8" s="2"/>
      <c r="B8" s="2"/>
      <c r="C8" s="9" t="s">
        <v>44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6" t="n">
        <v>0</v>
      </c>
      <c r="R8" s="10" t="n">
        <f aca="false">IF(Q7=0,"",Q8/Q7)</f>
        <v>0</v>
      </c>
    </row>
    <row r="9" customFormat="false" ht="15" hidden="false" customHeight="false" outlineLevel="0" collapsed="false">
      <c r="A9" s="2"/>
      <c r="B9" s="2"/>
      <c r="C9" s="9" t="s">
        <v>45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6" t="n">
        <v>1421.8</v>
      </c>
      <c r="R9" s="2"/>
    </row>
    <row r="10" customFormat="false" ht="15" hidden="false" customHeight="false" outlineLevel="0" collapsed="false">
      <c r="A10" s="4" t="s">
        <v>47</v>
      </c>
      <c r="B10" s="9" t="s">
        <v>42</v>
      </c>
      <c r="C10" s="9" t="s">
        <v>43</v>
      </c>
      <c r="D10" s="2"/>
      <c r="E10" s="2"/>
      <c r="F10" s="2"/>
      <c r="G10" s="2"/>
      <c r="H10" s="2"/>
      <c r="I10" s="2"/>
      <c r="J10" s="2"/>
      <c r="K10" s="6" t="n">
        <v>1225.7</v>
      </c>
      <c r="L10" s="6" t="n">
        <v>1225.7</v>
      </c>
      <c r="M10" s="6" t="n">
        <v>1468.6</v>
      </c>
      <c r="N10" s="6" t="n">
        <v>1441</v>
      </c>
      <c r="O10" s="6" t="n">
        <v>1489.7</v>
      </c>
      <c r="P10" s="6" t="n">
        <v>1524.6</v>
      </c>
      <c r="Q10" s="6" t="n">
        <v>1936.1</v>
      </c>
      <c r="R10" s="2"/>
    </row>
    <row r="11" customFormat="false" ht="15" hidden="false" customHeight="false" outlineLevel="0" collapsed="false">
      <c r="A11" s="2"/>
      <c r="B11" s="2"/>
      <c r="C11" s="9" t="s">
        <v>44</v>
      </c>
      <c r="D11" s="2"/>
      <c r="E11" s="2"/>
      <c r="F11" s="2"/>
      <c r="G11" s="2"/>
      <c r="H11" s="2"/>
      <c r="I11" s="2"/>
      <c r="J11" s="2"/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10" t="n">
        <f aca="false">IF(Q10=0,"",Q11/Q10)</f>
        <v>0</v>
      </c>
    </row>
    <row r="12" customFormat="false" ht="15" hidden="false" customHeight="false" outlineLevel="0" collapsed="false">
      <c r="A12" s="2"/>
      <c r="B12" s="2"/>
      <c r="C12" s="9" t="s">
        <v>45</v>
      </c>
      <c r="D12" s="2"/>
      <c r="E12" s="2"/>
      <c r="F12" s="2"/>
      <c r="G12" s="2"/>
      <c r="H12" s="2"/>
      <c r="I12" s="2"/>
      <c r="J12" s="2"/>
      <c r="K12" s="6" t="n">
        <v>1225.7</v>
      </c>
      <c r="L12" s="6" t="n">
        <v>1225.7</v>
      </c>
      <c r="M12" s="6" t="n">
        <v>1468.6</v>
      </c>
      <c r="N12" s="6" t="n">
        <v>1441</v>
      </c>
      <c r="O12" s="6" t="n">
        <v>1489.7</v>
      </c>
      <c r="P12" s="6" t="n">
        <v>1524.6</v>
      </c>
      <c r="Q12" s="6" t="n">
        <v>1936.1</v>
      </c>
      <c r="R12" s="2"/>
    </row>
    <row r="13" customFormat="false" ht="15" hidden="false" customHeight="false" outlineLevel="0" collapsed="false">
      <c r="A13" s="4" t="s">
        <v>48</v>
      </c>
      <c r="B13" s="9" t="s">
        <v>42</v>
      </c>
      <c r="C13" s="9" t="s">
        <v>43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6" t="n">
        <v>332</v>
      </c>
      <c r="O13" s="6" t="n">
        <v>343.2</v>
      </c>
      <c r="P13" s="6" t="n">
        <v>351.2</v>
      </c>
      <c r="Q13" s="6" t="n">
        <v>377.3</v>
      </c>
      <c r="R13" s="2"/>
    </row>
    <row r="14" customFormat="false" ht="15" hidden="false" customHeight="false" outlineLevel="0" collapsed="false">
      <c r="A14" s="2"/>
      <c r="B14" s="2"/>
      <c r="C14" s="9" t="s">
        <v>44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6" t="n">
        <v>0</v>
      </c>
      <c r="O14" s="6" t="n">
        <v>0</v>
      </c>
      <c r="P14" s="6" t="n">
        <v>0</v>
      </c>
      <c r="Q14" s="6" t="n">
        <v>0</v>
      </c>
      <c r="R14" s="10" t="n">
        <f aca="false">IF(Q13=0,"",Q14/Q13)</f>
        <v>0</v>
      </c>
    </row>
    <row r="15" customFormat="false" ht="15" hidden="false" customHeight="false" outlineLevel="0" collapsed="false">
      <c r="A15" s="2"/>
      <c r="B15" s="2"/>
      <c r="C15" s="9" t="s">
        <v>45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6" t="n">
        <v>332</v>
      </c>
      <c r="O15" s="6" t="n">
        <v>343.2</v>
      </c>
      <c r="P15" s="6" t="n">
        <v>351.2</v>
      </c>
      <c r="Q15" s="6" t="n">
        <v>377.3</v>
      </c>
      <c r="R15" s="2"/>
    </row>
    <row r="16" customFormat="false" ht="15" hidden="false" customHeight="false" outlineLevel="0" collapsed="false">
      <c r="A16" s="4" t="s">
        <v>49</v>
      </c>
      <c r="B16" s="9" t="s">
        <v>42</v>
      </c>
      <c r="C16" s="9" t="s">
        <v>43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6" t="n">
        <v>425.7</v>
      </c>
      <c r="Q16" s="6" t="n">
        <v>444.8</v>
      </c>
      <c r="R16" s="2"/>
    </row>
    <row r="17" customFormat="false" ht="15" hidden="false" customHeight="false" outlineLevel="0" collapsed="false">
      <c r="A17" s="2"/>
      <c r="B17" s="2"/>
      <c r="C17" s="9" t="s">
        <v>44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6" t="n">
        <v>0</v>
      </c>
      <c r="Q17" s="6" t="n">
        <v>0</v>
      </c>
      <c r="R17" s="10" t="n">
        <f aca="false">IF(Q16=0,"",Q17/Q16)</f>
        <v>0</v>
      </c>
    </row>
    <row r="18" customFormat="false" ht="15" hidden="false" customHeight="false" outlineLevel="0" collapsed="false">
      <c r="A18" s="2"/>
      <c r="B18" s="2"/>
      <c r="C18" s="9" t="s">
        <v>45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6" t="n">
        <v>425.7</v>
      </c>
      <c r="Q18" s="6" t="n">
        <v>444.8</v>
      </c>
      <c r="R18" s="2"/>
    </row>
    <row r="19" customFormat="false" ht="15" hidden="false" customHeight="false" outlineLevel="0" collapsed="false">
      <c r="A19" s="4" t="s">
        <v>50</v>
      </c>
      <c r="B19" s="9" t="s">
        <v>42</v>
      </c>
      <c r="C19" s="9" t="s">
        <v>43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6" t="n">
        <v>963</v>
      </c>
      <c r="R19" s="2"/>
    </row>
    <row r="20" customFormat="false" ht="15" hidden="false" customHeight="false" outlineLevel="0" collapsed="false">
      <c r="A20" s="2"/>
      <c r="B20" s="2"/>
      <c r="C20" s="9" t="s">
        <v>44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6" t="n">
        <v>0</v>
      </c>
      <c r="R20" s="10" t="n">
        <f aca="false">IF(Q19=0,"",Q20/Q19)</f>
        <v>0</v>
      </c>
    </row>
    <row r="21" customFormat="false" ht="15" hidden="false" customHeight="false" outlineLevel="0" collapsed="false">
      <c r="A21" s="2"/>
      <c r="B21" s="2"/>
      <c r="C21" s="9" t="s">
        <v>45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6" t="n">
        <v>963</v>
      </c>
      <c r="R21" s="2"/>
    </row>
    <row r="22" customFormat="false" ht="15" hidden="false" customHeight="false" outlineLevel="0" collapsed="false">
      <c r="A22" s="4" t="s">
        <v>51</v>
      </c>
      <c r="B22" s="9" t="s">
        <v>42</v>
      </c>
      <c r="C22" s="9" t="s">
        <v>43</v>
      </c>
      <c r="D22" s="6" t="n">
        <v>44.3</v>
      </c>
      <c r="E22" s="6" t="n">
        <v>87.6</v>
      </c>
      <c r="F22" s="6" t="n">
        <v>162.8</v>
      </c>
      <c r="G22" s="6" t="n">
        <v>162.2</v>
      </c>
      <c r="H22" s="6" t="n">
        <v>162.8</v>
      </c>
      <c r="I22" s="6" t="n">
        <v>165.8</v>
      </c>
      <c r="J22" s="6" t="n">
        <v>169.7</v>
      </c>
      <c r="K22" s="6" t="n">
        <v>169.7</v>
      </c>
      <c r="L22" s="6" t="n">
        <v>159.3</v>
      </c>
      <c r="M22" s="6" t="n">
        <v>181.2</v>
      </c>
      <c r="N22" s="6" t="n">
        <v>181.6</v>
      </c>
      <c r="O22" s="6" t="n">
        <v>187.6</v>
      </c>
      <c r="P22" s="6" t="n">
        <v>192.3</v>
      </c>
      <c r="Q22" s="6" t="n">
        <v>200.9</v>
      </c>
      <c r="R22" s="2"/>
    </row>
    <row r="23" customFormat="false" ht="15" hidden="false" customHeight="false" outlineLevel="0" collapsed="false">
      <c r="A23" s="2"/>
      <c r="B23" s="2"/>
      <c r="C23" s="9" t="s">
        <v>44</v>
      </c>
      <c r="D23" s="6" t="n">
        <v>0</v>
      </c>
      <c r="E23" s="6" t="n">
        <v>0</v>
      </c>
      <c r="F23" s="6" t="n">
        <v>78.1</v>
      </c>
      <c r="G23" s="6" t="n">
        <v>77.8</v>
      </c>
      <c r="H23" s="6" t="n">
        <v>110.7</v>
      </c>
      <c r="I23" s="6" t="n">
        <v>112.7</v>
      </c>
      <c r="J23" s="6" t="n">
        <v>115.3</v>
      </c>
      <c r="K23" s="6" t="n">
        <v>115.3</v>
      </c>
      <c r="L23" s="6" t="n">
        <v>108.3</v>
      </c>
      <c r="M23" s="6" t="n">
        <v>123.2</v>
      </c>
      <c r="N23" s="6" t="n">
        <v>123.5</v>
      </c>
      <c r="O23" s="6" t="n">
        <v>157.1</v>
      </c>
      <c r="P23" s="6" t="n">
        <v>163.3</v>
      </c>
      <c r="Q23" s="6" t="n">
        <v>170.6</v>
      </c>
      <c r="R23" s="10" t="n">
        <f aca="false">IF(Q22=0,"",Q23/Q22)</f>
        <v>0.849178695868591</v>
      </c>
    </row>
    <row r="24" customFormat="false" ht="15" hidden="false" customHeight="false" outlineLevel="0" collapsed="false">
      <c r="A24" s="2"/>
      <c r="B24" s="2"/>
      <c r="C24" s="9" t="s">
        <v>45</v>
      </c>
      <c r="D24" s="6" t="n">
        <v>44.3</v>
      </c>
      <c r="E24" s="6" t="n">
        <v>87.6</v>
      </c>
      <c r="F24" s="6" t="n">
        <v>84.7</v>
      </c>
      <c r="G24" s="6" t="n">
        <v>84.4</v>
      </c>
      <c r="H24" s="6" t="n">
        <v>52.1</v>
      </c>
      <c r="I24" s="6" t="n">
        <v>53.1</v>
      </c>
      <c r="J24" s="6" t="n">
        <v>54.3</v>
      </c>
      <c r="K24" s="6" t="n">
        <v>54.3</v>
      </c>
      <c r="L24" s="6" t="n">
        <v>51</v>
      </c>
      <c r="M24" s="6" t="n">
        <v>58</v>
      </c>
      <c r="N24" s="6" t="n">
        <v>58.1</v>
      </c>
      <c r="O24" s="6" t="n">
        <v>30.6</v>
      </c>
      <c r="P24" s="6" t="n">
        <v>29</v>
      </c>
      <c r="Q24" s="6" t="n">
        <v>30.3</v>
      </c>
      <c r="R24" s="2"/>
    </row>
    <row r="25" customFormat="false" ht="15" hidden="false" customHeight="false" outlineLevel="0" collapsed="false">
      <c r="A25" s="4" t="s">
        <v>52</v>
      </c>
      <c r="B25" s="9" t="s">
        <v>42</v>
      </c>
      <c r="C25" s="9" t="s">
        <v>43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6" t="n">
        <v>407.7</v>
      </c>
      <c r="P25" s="6" t="n">
        <v>417.2</v>
      </c>
      <c r="Q25" s="6" t="n">
        <v>448.2</v>
      </c>
      <c r="R25" s="2"/>
    </row>
    <row r="26" customFormat="false" ht="15" hidden="false" customHeight="false" outlineLevel="0" collapsed="false">
      <c r="A26" s="2"/>
      <c r="B26" s="2"/>
      <c r="C26" s="9" t="s">
        <v>44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6" t="n">
        <v>0</v>
      </c>
      <c r="P26" s="6" t="n">
        <v>91.7</v>
      </c>
      <c r="Q26" s="6" t="n">
        <v>98.5</v>
      </c>
      <c r="R26" s="10" t="n">
        <f aca="false">IF(Q25=0,"",Q26/Q25)</f>
        <v>0.219767960731816</v>
      </c>
    </row>
    <row r="27" customFormat="false" ht="15" hidden="false" customHeight="false" outlineLevel="0" collapsed="false">
      <c r="A27" s="2"/>
      <c r="B27" s="2"/>
      <c r="C27" s="9" t="s">
        <v>45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6" t="n">
        <v>407.7</v>
      </c>
      <c r="P27" s="6" t="n">
        <v>325.5</v>
      </c>
      <c r="Q27" s="6" t="n">
        <v>349.7</v>
      </c>
      <c r="R27" s="2"/>
    </row>
    <row r="28" customFormat="false" ht="15" hidden="false" customHeight="false" outlineLevel="0" collapsed="false">
      <c r="A28" s="4" t="s">
        <v>53</v>
      </c>
      <c r="B28" s="9" t="s">
        <v>42</v>
      </c>
      <c r="C28" s="9" t="s">
        <v>43</v>
      </c>
      <c r="D28" s="6" t="n">
        <v>2000</v>
      </c>
      <c r="E28" s="6" t="n">
        <v>2000</v>
      </c>
      <c r="F28" s="6" t="n">
        <v>2133.8</v>
      </c>
      <c r="G28" s="6" t="n">
        <v>2126.6</v>
      </c>
      <c r="H28" s="6" t="n">
        <v>2160.6</v>
      </c>
      <c r="I28" s="6" t="n">
        <v>2354.4</v>
      </c>
      <c r="J28" s="6" t="n">
        <v>2409.7</v>
      </c>
      <c r="K28" s="6" t="n">
        <v>2409.7</v>
      </c>
      <c r="L28" s="6" t="n">
        <v>2060.4</v>
      </c>
      <c r="M28" s="6" t="n">
        <v>2364.3</v>
      </c>
      <c r="N28" s="6" t="n">
        <v>2370.2</v>
      </c>
      <c r="O28" s="6" t="n">
        <v>2448.7</v>
      </c>
      <c r="P28" s="6" t="n">
        <v>2510</v>
      </c>
      <c r="Q28" s="6" t="n">
        <v>2622.3</v>
      </c>
      <c r="R28" s="2"/>
    </row>
    <row r="29" customFormat="false" ht="15" hidden="false" customHeight="false" outlineLevel="0" collapsed="false">
      <c r="A29" s="2"/>
      <c r="B29" s="2"/>
      <c r="C29" s="9" t="s">
        <v>44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182.8</v>
      </c>
      <c r="M29" s="6" t="n">
        <v>201.5</v>
      </c>
      <c r="N29" s="6" t="n">
        <v>309.8</v>
      </c>
      <c r="O29" s="6" t="n">
        <v>462</v>
      </c>
      <c r="P29" s="6" t="n">
        <v>562.8</v>
      </c>
      <c r="Q29" s="6" t="n">
        <v>1090.6</v>
      </c>
      <c r="R29" s="10" t="n">
        <f aca="false">IF(Q28=0,"",Q29/Q28)</f>
        <v>0.41589444380887</v>
      </c>
    </row>
    <row r="30" customFormat="false" ht="15" hidden="false" customHeight="false" outlineLevel="0" collapsed="false">
      <c r="A30" s="2"/>
      <c r="B30" s="2"/>
      <c r="C30" s="9" t="s">
        <v>45</v>
      </c>
      <c r="D30" s="6" t="n">
        <v>2000</v>
      </c>
      <c r="E30" s="6" t="n">
        <v>2000</v>
      </c>
      <c r="F30" s="6" t="n">
        <v>2133.8</v>
      </c>
      <c r="G30" s="6" t="n">
        <v>2126.6</v>
      </c>
      <c r="H30" s="6" t="n">
        <v>2160.6</v>
      </c>
      <c r="I30" s="6" t="n">
        <v>2354.4</v>
      </c>
      <c r="J30" s="6" t="n">
        <v>2409.7</v>
      </c>
      <c r="K30" s="6" t="n">
        <v>2409.7</v>
      </c>
      <c r="L30" s="6" t="n">
        <v>1877.7</v>
      </c>
      <c r="M30" s="6" t="n">
        <v>2162.9</v>
      </c>
      <c r="N30" s="6" t="n">
        <v>2060.4</v>
      </c>
      <c r="O30" s="6" t="n">
        <v>1986.6</v>
      </c>
      <c r="P30" s="6" t="n">
        <v>1947.2</v>
      </c>
      <c r="Q30" s="6" t="n">
        <v>1531.7</v>
      </c>
      <c r="R30" s="2"/>
    </row>
    <row r="31" customFormat="false" ht="15" hidden="false" customHeight="false" outlineLevel="0" collapsed="false">
      <c r="A31" s="4" t="s">
        <v>54</v>
      </c>
      <c r="B31" s="9" t="s">
        <v>42</v>
      </c>
      <c r="C31" s="9" t="s">
        <v>43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6" t="n">
        <v>343.2</v>
      </c>
      <c r="O31" s="6" t="n">
        <v>354.8</v>
      </c>
      <c r="P31" s="6" t="n">
        <v>363</v>
      </c>
      <c r="Q31" s="6" t="n">
        <v>390</v>
      </c>
      <c r="R31" s="2"/>
    </row>
    <row r="32" customFormat="false" ht="15" hidden="false" customHeight="false" outlineLevel="0" collapsed="false">
      <c r="A32" s="2"/>
      <c r="B32" s="2"/>
      <c r="C32" s="9" t="s">
        <v>44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6" t="n">
        <v>0</v>
      </c>
      <c r="O32" s="6" t="n">
        <v>0</v>
      </c>
      <c r="P32" s="6" t="n">
        <v>0</v>
      </c>
      <c r="Q32" s="6" t="n">
        <v>0</v>
      </c>
      <c r="R32" s="10" t="n">
        <f aca="false">IF(Q31=0,"",Q32/Q31)</f>
        <v>0</v>
      </c>
    </row>
    <row r="33" customFormat="false" ht="15" hidden="false" customHeight="false" outlineLevel="0" collapsed="false">
      <c r="A33" s="2"/>
      <c r="B33" s="2"/>
      <c r="C33" s="9" t="s">
        <v>45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6" t="n">
        <v>343.2</v>
      </c>
      <c r="O33" s="6" t="n">
        <v>354.8</v>
      </c>
      <c r="P33" s="6" t="n">
        <v>363</v>
      </c>
      <c r="Q33" s="6" t="n">
        <v>390</v>
      </c>
      <c r="R33" s="2"/>
    </row>
    <row r="34" customFormat="false" ht="15" hidden="false" customHeight="false" outlineLevel="0" collapsed="false">
      <c r="A34" s="4" t="s">
        <v>55</v>
      </c>
      <c r="B34" s="9" t="s">
        <v>42</v>
      </c>
      <c r="C34" s="9" t="s">
        <v>43</v>
      </c>
      <c r="D34" s="6" t="n">
        <v>369.1</v>
      </c>
      <c r="E34" s="6" t="n">
        <v>369.1</v>
      </c>
      <c r="F34" s="6" t="n">
        <v>415.9</v>
      </c>
      <c r="G34" s="6" t="n">
        <v>426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customFormat="false" ht="15" hidden="false" customHeight="false" outlineLevel="0" collapsed="false">
      <c r="A35" s="2"/>
      <c r="B35" s="2"/>
      <c r="C35" s="9" t="s">
        <v>44</v>
      </c>
      <c r="D35" s="6" t="n">
        <v>346.8</v>
      </c>
      <c r="E35" s="6" t="n">
        <v>347.2</v>
      </c>
      <c r="F35" s="6" t="n">
        <v>398.9</v>
      </c>
      <c r="G35" s="6" t="n">
        <v>408.7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10" t="str">
        <f aca="false">IF(Q34=0,"",Q35/Q34)</f>
        <v/>
      </c>
    </row>
    <row r="36" customFormat="false" ht="15" hidden="false" customHeight="false" outlineLevel="0" collapsed="false">
      <c r="A36" s="2"/>
      <c r="B36" s="2"/>
      <c r="C36" s="9" t="s">
        <v>45</v>
      </c>
      <c r="D36" s="6" t="n">
        <v>22.3</v>
      </c>
      <c r="E36" s="6" t="n">
        <v>21.9</v>
      </c>
      <c r="F36" s="6" t="n">
        <v>17</v>
      </c>
      <c r="G36" s="6" t="n">
        <v>17.4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customFormat="false" ht="15" hidden="false" customHeight="false" outlineLevel="0" collapsed="false">
      <c r="A37" s="4" t="s">
        <v>56</v>
      </c>
      <c r="B37" s="9" t="s">
        <v>42</v>
      </c>
      <c r="C37" s="9" t="s">
        <v>43</v>
      </c>
      <c r="D37" s="6" t="n">
        <v>333.7</v>
      </c>
      <c r="E37" s="6" t="n">
        <v>235.7</v>
      </c>
      <c r="F37" s="6" t="n">
        <v>405.4</v>
      </c>
      <c r="G37" s="6" t="n">
        <v>404</v>
      </c>
      <c r="H37" s="6" t="n">
        <v>405.4</v>
      </c>
      <c r="I37" s="6" t="n">
        <v>412.9</v>
      </c>
      <c r="J37" s="6" t="n">
        <v>422.6</v>
      </c>
      <c r="K37" s="6" t="n">
        <v>422.6</v>
      </c>
      <c r="L37" s="6" t="n">
        <v>396.9</v>
      </c>
      <c r="M37" s="6" t="n">
        <v>451.3</v>
      </c>
      <c r="N37" s="6" t="n">
        <v>452.4</v>
      </c>
      <c r="O37" s="6" t="n">
        <v>467.4</v>
      </c>
      <c r="P37" s="2"/>
      <c r="Q37" s="2"/>
      <c r="R37" s="2"/>
    </row>
    <row r="38" customFormat="false" ht="15" hidden="false" customHeight="false" outlineLevel="0" collapsed="false">
      <c r="A38" s="2"/>
      <c r="B38" s="2"/>
      <c r="C38" s="9" t="s">
        <v>44</v>
      </c>
      <c r="D38" s="6" t="n">
        <v>152.3</v>
      </c>
      <c r="E38" s="6" t="n">
        <v>152.3</v>
      </c>
      <c r="F38" s="6" t="n">
        <v>119.3</v>
      </c>
      <c r="G38" s="6" t="n">
        <v>118.9</v>
      </c>
      <c r="H38" s="6" t="n">
        <v>150.2</v>
      </c>
      <c r="I38" s="6" t="n">
        <v>152.9</v>
      </c>
      <c r="J38" s="6" t="n">
        <v>156.5</v>
      </c>
      <c r="K38" s="6" t="n">
        <v>172.6</v>
      </c>
      <c r="L38" s="6" t="n">
        <v>211.6</v>
      </c>
      <c r="M38" s="6" t="n">
        <v>240.6</v>
      </c>
      <c r="N38" s="6" t="n">
        <v>241.2</v>
      </c>
      <c r="O38" s="6" t="n">
        <v>249.1</v>
      </c>
      <c r="P38" s="2"/>
      <c r="Q38" s="2"/>
      <c r="R38" s="10" t="str">
        <f aca="false">IF(Q37=0,"",Q38/Q37)</f>
        <v/>
      </c>
    </row>
    <row r="39" customFormat="false" ht="15" hidden="false" customHeight="false" outlineLevel="0" collapsed="false">
      <c r="A39" s="2"/>
      <c r="B39" s="2"/>
      <c r="C39" s="9" t="s">
        <v>45</v>
      </c>
      <c r="D39" s="6" t="n">
        <v>181.5</v>
      </c>
      <c r="E39" s="6" t="n">
        <v>83.4</v>
      </c>
      <c r="F39" s="6" t="n">
        <v>286.1</v>
      </c>
      <c r="G39" s="6" t="n">
        <v>285.1</v>
      </c>
      <c r="H39" s="6" t="n">
        <v>255.3</v>
      </c>
      <c r="I39" s="6" t="n">
        <v>260</v>
      </c>
      <c r="J39" s="6" t="n">
        <v>266.1</v>
      </c>
      <c r="K39" s="6" t="n">
        <v>250</v>
      </c>
      <c r="L39" s="6" t="n">
        <v>185.3</v>
      </c>
      <c r="M39" s="6" t="n">
        <v>210.7</v>
      </c>
      <c r="N39" s="6" t="n">
        <v>211.2</v>
      </c>
      <c r="O39" s="6" t="n">
        <v>218.2</v>
      </c>
      <c r="P39" s="2"/>
      <c r="Q39" s="2"/>
      <c r="R39" s="2"/>
    </row>
    <row r="40" customFormat="false" ht="15" hidden="false" customHeight="false" outlineLevel="0" collapsed="false">
      <c r="A40" s="4" t="s">
        <v>57</v>
      </c>
      <c r="B40" s="9" t="s">
        <v>42</v>
      </c>
      <c r="C40" s="9" t="s">
        <v>43</v>
      </c>
      <c r="D40" s="6" t="n">
        <v>932</v>
      </c>
      <c r="E40" s="6" t="n">
        <v>932</v>
      </c>
      <c r="F40" s="6" t="n">
        <v>959.1</v>
      </c>
      <c r="G40" s="6" t="n">
        <v>949.2</v>
      </c>
      <c r="H40" s="6" t="n">
        <v>964.1</v>
      </c>
      <c r="I40" s="6" t="n">
        <v>968.4</v>
      </c>
      <c r="J40" s="6" t="n">
        <v>1019.1</v>
      </c>
      <c r="K40" s="6" t="n">
        <v>1019.1</v>
      </c>
      <c r="L40" s="6" t="n">
        <v>1008.4</v>
      </c>
      <c r="M40" s="6" t="n">
        <v>1016.1</v>
      </c>
      <c r="N40" s="6" t="n">
        <v>978.5</v>
      </c>
      <c r="O40" s="6" t="n">
        <v>1018</v>
      </c>
      <c r="P40" s="6" t="n">
        <v>1060.7</v>
      </c>
      <c r="Q40" s="6" t="n">
        <v>1171.9</v>
      </c>
      <c r="R40" s="2"/>
    </row>
    <row r="41" customFormat="false" ht="15" hidden="false" customHeight="false" outlineLevel="0" collapsed="false">
      <c r="A41" s="2"/>
      <c r="B41" s="2"/>
      <c r="C41" s="9" t="s">
        <v>44</v>
      </c>
      <c r="D41" s="6" t="n">
        <v>64.3</v>
      </c>
      <c r="E41" s="6" t="n">
        <v>59.7</v>
      </c>
      <c r="F41" s="6" t="n">
        <v>88.4</v>
      </c>
      <c r="G41" s="6" t="n">
        <v>105.4</v>
      </c>
      <c r="H41" s="6" t="n">
        <v>130.4</v>
      </c>
      <c r="I41" s="6" t="n">
        <v>137.6</v>
      </c>
      <c r="J41" s="6" t="n">
        <v>167.7</v>
      </c>
      <c r="K41" s="6" t="n">
        <v>180.3</v>
      </c>
      <c r="L41" s="6" t="n">
        <v>216.3</v>
      </c>
      <c r="M41" s="6" t="n">
        <v>231.3</v>
      </c>
      <c r="N41" s="6" t="n">
        <v>242.6</v>
      </c>
      <c r="O41" s="6" t="n">
        <v>260.2</v>
      </c>
      <c r="P41" s="6" t="n">
        <v>312.7</v>
      </c>
      <c r="Q41" s="6" t="n">
        <v>362.8</v>
      </c>
      <c r="R41" s="10" t="n">
        <f aca="false">IF(Q40=0,"",Q41/Q40)</f>
        <v>0.309582728901783</v>
      </c>
    </row>
    <row r="42" customFormat="false" ht="15" hidden="false" customHeight="false" outlineLevel="0" collapsed="false">
      <c r="A42" s="2"/>
      <c r="B42" s="2"/>
      <c r="C42" s="9" t="s">
        <v>45</v>
      </c>
      <c r="D42" s="6" t="n">
        <v>867.8</v>
      </c>
      <c r="E42" s="6" t="n">
        <v>872.3</v>
      </c>
      <c r="F42" s="6" t="n">
        <v>870.7</v>
      </c>
      <c r="G42" s="6" t="n">
        <v>843.8</v>
      </c>
      <c r="H42" s="6" t="n">
        <v>833.7</v>
      </c>
      <c r="I42" s="6" t="n">
        <v>830.8</v>
      </c>
      <c r="J42" s="6" t="n">
        <v>851.4</v>
      </c>
      <c r="K42" s="6" t="n">
        <v>838.8</v>
      </c>
      <c r="L42" s="6" t="n">
        <v>792.1</v>
      </c>
      <c r="M42" s="6" t="n">
        <v>784.9</v>
      </c>
      <c r="N42" s="6" t="n">
        <v>735.9</v>
      </c>
      <c r="O42" s="6" t="n">
        <v>757.8</v>
      </c>
      <c r="P42" s="6" t="n">
        <v>748</v>
      </c>
      <c r="Q42" s="6" t="n">
        <v>809.1</v>
      </c>
      <c r="R42" s="2"/>
    </row>
    <row r="43" customFormat="false" ht="15" hidden="false" customHeight="false" outlineLevel="0" collapsed="false">
      <c r="A43" s="4" t="s">
        <v>58</v>
      </c>
      <c r="B43" s="9" t="s">
        <v>42</v>
      </c>
      <c r="C43" s="9" t="s">
        <v>43</v>
      </c>
      <c r="D43" s="2"/>
      <c r="E43" s="2"/>
      <c r="F43" s="2"/>
      <c r="G43" s="2"/>
      <c r="H43" s="6" t="n">
        <v>3242.6</v>
      </c>
      <c r="I43" s="6" t="n">
        <v>3257.1</v>
      </c>
      <c r="J43" s="6" t="n">
        <v>3427.7</v>
      </c>
      <c r="K43" s="6" t="n">
        <v>3427.7</v>
      </c>
      <c r="L43" s="6" t="n">
        <v>3391.6</v>
      </c>
      <c r="M43" s="6" t="n">
        <v>3417.5</v>
      </c>
      <c r="N43" s="6" t="n">
        <v>3291.1</v>
      </c>
      <c r="O43" s="6" t="n">
        <v>3423.8</v>
      </c>
      <c r="P43" s="6" t="n">
        <v>3567.3</v>
      </c>
      <c r="Q43" s="6" t="n">
        <v>3941.4</v>
      </c>
      <c r="R43" s="2"/>
    </row>
    <row r="44" customFormat="false" ht="15" hidden="false" customHeight="false" outlineLevel="0" collapsed="false">
      <c r="A44" s="2"/>
      <c r="B44" s="2"/>
      <c r="C44" s="9" t="s">
        <v>44</v>
      </c>
      <c r="D44" s="2"/>
      <c r="E44" s="2"/>
      <c r="F44" s="2"/>
      <c r="G44" s="2"/>
      <c r="H44" s="6" t="n">
        <v>0</v>
      </c>
      <c r="I44" s="6" t="n">
        <v>3.4</v>
      </c>
      <c r="J44" s="6" t="n">
        <v>10.2</v>
      </c>
      <c r="K44" s="6" t="n">
        <v>81.5</v>
      </c>
      <c r="L44" s="6" t="n">
        <v>176.5</v>
      </c>
      <c r="M44" s="6" t="n">
        <v>219.9</v>
      </c>
      <c r="N44" s="6" t="n">
        <v>278.3</v>
      </c>
      <c r="O44" s="6" t="n">
        <v>367.5</v>
      </c>
      <c r="P44" s="6" t="n">
        <v>497.7</v>
      </c>
      <c r="Q44" s="6" t="n">
        <v>648.8</v>
      </c>
      <c r="R44" s="10" t="n">
        <f aca="false">IF(Q43=0,"",Q44/Q43)</f>
        <v>0.164611559344395</v>
      </c>
    </row>
    <row r="45" customFormat="false" ht="15" hidden="false" customHeight="false" outlineLevel="0" collapsed="false">
      <c r="A45" s="2"/>
      <c r="B45" s="2"/>
      <c r="C45" s="9" t="s">
        <v>45</v>
      </c>
      <c r="D45" s="2"/>
      <c r="E45" s="2"/>
      <c r="F45" s="2"/>
      <c r="G45" s="2"/>
      <c r="H45" s="6" t="n">
        <v>3242.6</v>
      </c>
      <c r="I45" s="6" t="n">
        <v>3253.7</v>
      </c>
      <c r="J45" s="6" t="n">
        <v>3417.4</v>
      </c>
      <c r="K45" s="6" t="n">
        <v>3346.2</v>
      </c>
      <c r="L45" s="6" t="n">
        <v>3215.1</v>
      </c>
      <c r="M45" s="6" t="n">
        <v>3197.6</v>
      </c>
      <c r="N45" s="6" t="n">
        <v>3012.8</v>
      </c>
      <c r="O45" s="6" t="n">
        <v>3056.4</v>
      </c>
      <c r="P45" s="6" t="n">
        <v>3069.6</v>
      </c>
      <c r="Q45" s="6" t="n">
        <v>3292.5</v>
      </c>
      <c r="R45" s="2"/>
    </row>
    <row r="46" customFormat="false" ht="15" hidden="false" customHeight="false" outlineLevel="0" collapsed="false">
      <c r="A46" s="7" t="s">
        <v>59</v>
      </c>
      <c r="B46" s="9" t="s">
        <v>60</v>
      </c>
      <c r="C46" s="9" t="s">
        <v>43</v>
      </c>
      <c r="D46" s="6" t="n">
        <v>75.4</v>
      </c>
      <c r="E46" s="6" t="n">
        <v>75.4</v>
      </c>
      <c r="F46" s="6" t="n">
        <v>76.4</v>
      </c>
      <c r="G46" s="6" t="n">
        <v>76.4</v>
      </c>
      <c r="H46" s="6" t="n">
        <v>76.4</v>
      </c>
      <c r="I46" s="6" t="n">
        <v>76.4</v>
      </c>
      <c r="J46" s="6" t="n">
        <v>76.4</v>
      </c>
      <c r="K46" s="6" t="n">
        <v>76.4</v>
      </c>
      <c r="L46" s="6" t="n">
        <v>76.4</v>
      </c>
      <c r="M46" s="6" t="n">
        <v>76.4</v>
      </c>
      <c r="N46" s="6" t="n">
        <v>76.5</v>
      </c>
      <c r="O46" s="6" t="n">
        <v>76.5</v>
      </c>
      <c r="P46" s="6" t="n">
        <v>76.5</v>
      </c>
      <c r="Q46" s="6" t="n">
        <v>76.5</v>
      </c>
      <c r="R46" s="2"/>
    </row>
    <row r="47" customFormat="false" ht="15" hidden="false" customHeight="false" outlineLevel="0" collapsed="false">
      <c r="A47" s="2"/>
      <c r="B47" s="2"/>
      <c r="C47" s="9" t="s">
        <v>44</v>
      </c>
      <c r="D47" s="6" t="n">
        <v>0</v>
      </c>
      <c r="E47" s="6" t="n">
        <v>0</v>
      </c>
      <c r="F47" s="6" t="n">
        <v>0</v>
      </c>
      <c r="G47" s="6" t="n">
        <v>2.4</v>
      </c>
      <c r="H47" s="6" t="n">
        <v>19.5</v>
      </c>
      <c r="I47" s="6" t="n">
        <v>19.5</v>
      </c>
      <c r="J47" s="6" t="n">
        <v>20.7</v>
      </c>
      <c r="K47" s="6" t="n">
        <v>35.2</v>
      </c>
      <c r="L47" s="6" t="n">
        <v>51.2</v>
      </c>
      <c r="M47" s="6" t="n">
        <v>51.2</v>
      </c>
      <c r="N47" s="6" t="n">
        <v>56</v>
      </c>
      <c r="O47" s="6" t="n">
        <v>65.8</v>
      </c>
      <c r="P47" s="6" t="n">
        <v>76.2</v>
      </c>
      <c r="Q47" s="6" t="n">
        <v>76.2</v>
      </c>
      <c r="R47" s="10" t="n">
        <f aca="false">IF(Q46=0,"",Q47/Q46)</f>
        <v>0.996078431372549</v>
      </c>
    </row>
    <row r="48" customFormat="false" ht="15" hidden="false" customHeight="false" outlineLevel="0" collapsed="false">
      <c r="A48" s="2"/>
      <c r="B48" s="2"/>
      <c r="C48" s="9" t="s">
        <v>45</v>
      </c>
      <c r="D48" s="6" t="n">
        <v>75.4</v>
      </c>
      <c r="E48" s="6" t="n">
        <v>75.4</v>
      </c>
      <c r="F48" s="6" t="n">
        <v>76.4</v>
      </c>
      <c r="G48" s="6" t="n">
        <v>74</v>
      </c>
      <c r="H48" s="6" t="n">
        <v>56.9</v>
      </c>
      <c r="I48" s="6" t="n">
        <v>56.9</v>
      </c>
      <c r="J48" s="6" t="n">
        <v>55.7</v>
      </c>
      <c r="K48" s="6" t="n">
        <v>41.2</v>
      </c>
      <c r="L48" s="6" t="n">
        <v>25.2</v>
      </c>
      <c r="M48" s="6" t="n">
        <v>25.2</v>
      </c>
      <c r="N48" s="6" t="n">
        <v>20.5</v>
      </c>
      <c r="O48" s="6" t="n">
        <v>10.6</v>
      </c>
      <c r="P48" s="6" t="n">
        <v>0.3</v>
      </c>
      <c r="Q48" s="6" t="n">
        <v>0.3</v>
      </c>
      <c r="R48" s="2"/>
    </row>
    <row r="49" customFormat="false" ht="15" hidden="false" customHeight="false" outlineLevel="0" collapsed="false">
      <c r="A49" s="7" t="s">
        <v>61</v>
      </c>
      <c r="B49" s="9" t="s">
        <v>60</v>
      </c>
      <c r="C49" s="9" t="s">
        <v>43</v>
      </c>
      <c r="D49" s="6" t="n">
        <v>501.3</v>
      </c>
      <c r="E49" s="6" t="n">
        <v>501.3</v>
      </c>
      <c r="F49" s="6" t="n">
        <v>506.9</v>
      </c>
      <c r="G49" s="6" t="n">
        <v>506.8</v>
      </c>
      <c r="H49" s="6" t="n">
        <v>506.8</v>
      </c>
      <c r="I49" s="6" t="n">
        <v>506.8</v>
      </c>
      <c r="J49" s="6" t="n">
        <v>506.9</v>
      </c>
      <c r="K49" s="6" t="n">
        <v>506.9</v>
      </c>
      <c r="L49" s="6" t="n">
        <v>506.9</v>
      </c>
      <c r="M49" s="6" t="n">
        <v>506.9</v>
      </c>
      <c r="N49" s="6" t="n">
        <v>507.5</v>
      </c>
      <c r="O49" s="6" t="n">
        <v>507.5</v>
      </c>
      <c r="P49" s="6" t="n">
        <v>507.5</v>
      </c>
      <c r="Q49" s="6" t="n">
        <v>507.5</v>
      </c>
      <c r="R49" s="2"/>
    </row>
    <row r="50" customFormat="false" ht="15" hidden="false" customHeight="false" outlineLevel="0" collapsed="false">
      <c r="A50" s="2"/>
      <c r="B50" s="2"/>
      <c r="C50" s="9" t="s">
        <v>44</v>
      </c>
      <c r="D50" s="6" t="n">
        <v>0</v>
      </c>
      <c r="E50" s="6" t="n">
        <v>0</v>
      </c>
      <c r="F50" s="6" t="n">
        <v>0</v>
      </c>
      <c r="G50" s="6" t="n">
        <v>10.8</v>
      </c>
      <c r="H50" s="6" t="n">
        <v>121.8</v>
      </c>
      <c r="I50" s="6" t="n">
        <v>121.8</v>
      </c>
      <c r="J50" s="6" t="n">
        <v>123.6</v>
      </c>
      <c r="K50" s="6" t="n">
        <v>238.9</v>
      </c>
      <c r="L50" s="6" t="n">
        <v>344.6</v>
      </c>
      <c r="M50" s="6" t="n">
        <v>339.2</v>
      </c>
      <c r="N50" s="6" t="n">
        <v>378.7</v>
      </c>
      <c r="O50" s="6" t="n">
        <v>434.6</v>
      </c>
      <c r="P50" s="6" t="n">
        <v>506.8</v>
      </c>
      <c r="Q50" s="6" t="n">
        <v>506.8</v>
      </c>
      <c r="R50" s="10" t="n">
        <f aca="false">IF(Q49=0,"",Q50/Q49)</f>
        <v>0.998620689655173</v>
      </c>
    </row>
    <row r="51" customFormat="false" ht="15" hidden="false" customHeight="false" outlineLevel="0" collapsed="false">
      <c r="A51" s="2"/>
      <c r="B51" s="2"/>
      <c r="C51" s="9" t="s">
        <v>45</v>
      </c>
      <c r="D51" s="6" t="n">
        <v>501.3</v>
      </c>
      <c r="E51" s="6" t="n">
        <v>501.3</v>
      </c>
      <c r="F51" s="6" t="n">
        <v>506.9</v>
      </c>
      <c r="G51" s="6" t="n">
        <v>496</v>
      </c>
      <c r="H51" s="6" t="n">
        <v>385</v>
      </c>
      <c r="I51" s="6" t="n">
        <v>385</v>
      </c>
      <c r="J51" s="6" t="n">
        <v>383.3</v>
      </c>
      <c r="K51" s="6" t="n">
        <v>268</v>
      </c>
      <c r="L51" s="6" t="n">
        <v>162.2</v>
      </c>
      <c r="M51" s="6" t="n">
        <v>167.7</v>
      </c>
      <c r="N51" s="6" t="n">
        <v>128.8</v>
      </c>
      <c r="O51" s="6" t="n">
        <v>72.9</v>
      </c>
      <c r="P51" s="6" t="n">
        <v>0.7</v>
      </c>
      <c r="Q51" s="6" t="n">
        <v>0.7</v>
      </c>
      <c r="R51" s="2"/>
    </row>
    <row r="52" customFormat="false" ht="15" hidden="false" customHeight="false" outlineLevel="0" collapsed="false">
      <c r="A52" s="7" t="s">
        <v>62</v>
      </c>
      <c r="B52" s="9" t="s">
        <v>60</v>
      </c>
      <c r="C52" s="9" t="s">
        <v>43</v>
      </c>
      <c r="D52" s="2"/>
      <c r="E52" s="2"/>
      <c r="F52" s="2"/>
      <c r="G52" s="2"/>
      <c r="H52" s="6" t="n">
        <v>368.5</v>
      </c>
      <c r="I52" s="6" t="n">
        <v>368.5</v>
      </c>
      <c r="J52" s="6" t="n">
        <v>368.5</v>
      </c>
      <c r="K52" s="6" t="n">
        <v>368.5</v>
      </c>
      <c r="L52" s="6" t="n">
        <v>715.1</v>
      </c>
      <c r="M52" s="6" t="n">
        <v>711.5</v>
      </c>
      <c r="N52" s="6" t="n">
        <v>343</v>
      </c>
      <c r="O52" s="6" t="n">
        <v>343</v>
      </c>
      <c r="P52" s="6" t="n">
        <v>343</v>
      </c>
      <c r="Q52" s="6" t="n">
        <v>343</v>
      </c>
      <c r="R52" s="2"/>
    </row>
    <row r="53" customFormat="false" ht="15" hidden="false" customHeight="false" outlineLevel="0" collapsed="false">
      <c r="A53" s="2"/>
      <c r="B53" s="2"/>
      <c r="C53" s="9" t="s">
        <v>44</v>
      </c>
      <c r="D53" s="2"/>
      <c r="E53" s="2"/>
      <c r="F53" s="2"/>
      <c r="G53" s="2"/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62</v>
      </c>
      <c r="Q53" s="6" t="n">
        <v>189.6</v>
      </c>
      <c r="R53" s="10" t="n">
        <f aca="false">IF(Q52=0,"",Q53/Q52)</f>
        <v>0.552769679300292</v>
      </c>
    </row>
    <row r="54" customFormat="false" ht="15" hidden="false" customHeight="false" outlineLevel="0" collapsed="false">
      <c r="A54" s="2"/>
      <c r="B54" s="2"/>
      <c r="C54" s="9" t="s">
        <v>45</v>
      </c>
      <c r="D54" s="2"/>
      <c r="E54" s="2"/>
      <c r="F54" s="2"/>
      <c r="G54" s="2"/>
      <c r="H54" s="6" t="n">
        <v>368.5</v>
      </c>
      <c r="I54" s="6" t="n">
        <v>368.5</v>
      </c>
      <c r="J54" s="6" t="n">
        <v>368.5</v>
      </c>
      <c r="K54" s="6" t="n">
        <v>368.5</v>
      </c>
      <c r="L54" s="6" t="n">
        <v>715.1</v>
      </c>
      <c r="M54" s="6" t="n">
        <v>711.5</v>
      </c>
      <c r="N54" s="6" t="n">
        <v>343</v>
      </c>
      <c r="O54" s="6" t="n">
        <v>343</v>
      </c>
      <c r="P54" s="6" t="n">
        <v>281.1</v>
      </c>
      <c r="Q54" s="6" t="n">
        <v>153.4</v>
      </c>
      <c r="R54" s="2"/>
    </row>
    <row r="55" customFormat="false" ht="15" hidden="false" customHeight="false" outlineLevel="0" collapsed="false">
      <c r="A55" s="7" t="s">
        <v>63</v>
      </c>
      <c r="B55" s="9" t="s">
        <v>60</v>
      </c>
      <c r="C55" s="9" t="s">
        <v>43</v>
      </c>
      <c r="D55" s="6" t="n">
        <v>195.6</v>
      </c>
      <c r="E55" s="6" t="n">
        <v>195.6</v>
      </c>
      <c r="F55" s="6" t="n">
        <v>196.1</v>
      </c>
      <c r="G55" s="6" t="n">
        <v>196.1</v>
      </c>
      <c r="H55" s="6" t="n">
        <v>196.1</v>
      </c>
      <c r="I55" s="6" t="n">
        <v>196.1</v>
      </c>
      <c r="J55" s="6" t="n">
        <v>196.1</v>
      </c>
      <c r="K55" s="6" t="n">
        <v>196</v>
      </c>
      <c r="L55" s="2"/>
      <c r="M55" s="2"/>
      <c r="N55" s="2"/>
      <c r="O55" s="2"/>
      <c r="P55" s="2"/>
      <c r="Q55" s="2"/>
      <c r="R55" s="2"/>
    </row>
    <row r="56" customFormat="false" ht="15" hidden="false" customHeight="false" outlineLevel="0" collapsed="false">
      <c r="A56" s="2"/>
      <c r="B56" s="2"/>
      <c r="C56" s="9" t="s">
        <v>44</v>
      </c>
      <c r="D56" s="6" t="n">
        <v>131.6</v>
      </c>
      <c r="E56" s="6" t="n">
        <v>138.5</v>
      </c>
      <c r="F56" s="6" t="n">
        <v>158.1</v>
      </c>
      <c r="G56" s="6" t="n">
        <v>167.3</v>
      </c>
      <c r="H56" s="6" t="n">
        <v>187</v>
      </c>
      <c r="I56" s="6" t="n">
        <v>194.3</v>
      </c>
      <c r="J56" s="6" t="n">
        <v>192.9</v>
      </c>
      <c r="K56" s="6" t="n">
        <v>191.2</v>
      </c>
      <c r="L56" s="2"/>
      <c r="M56" s="2"/>
      <c r="N56" s="2"/>
      <c r="O56" s="2"/>
      <c r="P56" s="2"/>
      <c r="Q56" s="2"/>
      <c r="R56" s="10" t="str">
        <f aca="false">IF(Q55=0,"",Q56/Q55)</f>
        <v/>
      </c>
    </row>
    <row r="57" customFormat="false" ht="15" hidden="false" customHeight="false" outlineLevel="0" collapsed="false">
      <c r="A57" s="2"/>
      <c r="B57" s="2"/>
      <c r="C57" s="9" t="s">
        <v>45</v>
      </c>
      <c r="D57" s="6" t="n">
        <v>64.1</v>
      </c>
      <c r="E57" s="6" t="n">
        <v>57.1</v>
      </c>
      <c r="F57" s="6" t="n">
        <v>38</v>
      </c>
      <c r="G57" s="6" t="n">
        <v>28.7</v>
      </c>
      <c r="H57" s="6" t="n">
        <v>9</v>
      </c>
      <c r="I57" s="6" t="n">
        <v>1.8</v>
      </c>
      <c r="J57" s="6" t="n">
        <v>3.1</v>
      </c>
      <c r="K57" s="6" t="n">
        <v>4.9</v>
      </c>
      <c r="L57" s="2"/>
      <c r="M57" s="2"/>
      <c r="N57" s="2"/>
      <c r="O57" s="2"/>
      <c r="P57" s="2"/>
      <c r="Q57" s="2"/>
      <c r="R57" s="2"/>
    </row>
    <row r="58" customFormat="false" ht="15" hidden="false" customHeight="false" outlineLevel="0" collapsed="false">
      <c r="A58" s="7" t="s">
        <v>64</v>
      </c>
      <c r="B58" s="9" t="s">
        <v>60</v>
      </c>
      <c r="C58" s="9" t="s">
        <v>43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6" t="n">
        <v>612.3</v>
      </c>
      <c r="Q58" s="6" t="n">
        <v>625.1</v>
      </c>
      <c r="R58" s="2"/>
    </row>
    <row r="59" customFormat="false" ht="15" hidden="false" customHeight="false" outlineLevel="0" collapsed="false">
      <c r="A59" s="2"/>
      <c r="B59" s="2"/>
      <c r="C59" s="9" t="s">
        <v>44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6" t="n">
        <v>0</v>
      </c>
      <c r="Q59" s="6" t="n">
        <v>0</v>
      </c>
      <c r="R59" s="10" t="n">
        <f aca="false">IF(Q58=0,"",Q59/Q58)</f>
        <v>0</v>
      </c>
    </row>
    <row r="60" customFormat="false" ht="15" hidden="false" customHeight="false" outlineLevel="0" collapsed="false">
      <c r="A60" s="2"/>
      <c r="B60" s="2"/>
      <c r="C60" s="9" t="s">
        <v>45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6" t="n">
        <v>612.3</v>
      </c>
      <c r="Q60" s="6" t="n">
        <v>625.1</v>
      </c>
      <c r="R60" s="2"/>
    </row>
    <row r="61" customFormat="false" ht="15" hidden="false" customHeight="false" outlineLevel="0" collapsed="false">
      <c r="A61" s="7" t="s">
        <v>65</v>
      </c>
      <c r="B61" s="9" t="s">
        <v>60</v>
      </c>
      <c r="C61" s="9" t="s">
        <v>43</v>
      </c>
      <c r="D61" s="6" t="n">
        <v>380.3</v>
      </c>
      <c r="E61" s="6" t="n">
        <v>380.3</v>
      </c>
      <c r="F61" s="6" t="n">
        <v>379.9</v>
      </c>
      <c r="G61" s="6" t="n">
        <v>379.9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customFormat="false" ht="15" hidden="false" customHeight="false" outlineLevel="0" collapsed="false">
      <c r="A62" s="2"/>
      <c r="B62" s="2"/>
      <c r="C62" s="9" t="s">
        <v>44</v>
      </c>
      <c r="D62" s="6" t="n">
        <v>335.8</v>
      </c>
      <c r="E62" s="6" t="n">
        <v>358.3</v>
      </c>
      <c r="F62" s="6" t="n">
        <v>379.7</v>
      </c>
      <c r="G62" s="6" t="n">
        <v>379.7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10" t="str">
        <f aca="false">IF(Q61=0,"",Q62/Q61)</f>
        <v/>
      </c>
    </row>
    <row r="63" customFormat="false" ht="15" hidden="false" customHeight="false" outlineLevel="0" collapsed="false">
      <c r="A63" s="2"/>
      <c r="B63" s="2"/>
      <c r="C63" s="9" t="s">
        <v>45</v>
      </c>
      <c r="D63" s="6" t="n">
        <v>44.5</v>
      </c>
      <c r="E63" s="6" t="n">
        <v>22</v>
      </c>
      <c r="F63" s="6" t="n">
        <v>0.2</v>
      </c>
      <c r="G63" s="6" t="n">
        <v>0.2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customFormat="false" ht="15" hidden="false" customHeight="false" outlineLevel="0" collapsed="false">
      <c r="A64" s="7" t="s">
        <v>66</v>
      </c>
      <c r="B64" s="9" t="s">
        <v>60</v>
      </c>
      <c r="C64" s="9" t="s">
        <v>43</v>
      </c>
      <c r="D64" s="6" t="n">
        <v>71.7</v>
      </c>
      <c r="E64" s="6" t="n">
        <v>71.7</v>
      </c>
      <c r="F64" s="6" t="n">
        <v>72</v>
      </c>
      <c r="G64" s="6" t="n">
        <v>72</v>
      </c>
      <c r="H64" s="6" t="n">
        <v>72</v>
      </c>
      <c r="I64" s="2"/>
      <c r="J64" s="2"/>
      <c r="K64" s="6" t="n">
        <v>72</v>
      </c>
      <c r="L64" s="2"/>
      <c r="M64" s="2"/>
      <c r="N64" s="2"/>
      <c r="O64" s="2"/>
      <c r="P64" s="2"/>
      <c r="Q64" s="2"/>
      <c r="R64" s="2"/>
    </row>
    <row r="65" customFormat="false" ht="15" hidden="false" customHeight="false" outlineLevel="0" collapsed="false">
      <c r="A65" s="2"/>
      <c r="B65" s="2"/>
      <c r="C65" s="9" t="s">
        <v>44</v>
      </c>
      <c r="D65" s="6" t="n">
        <v>0</v>
      </c>
      <c r="E65" s="6" t="n">
        <v>0</v>
      </c>
      <c r="F65" s="6" t="n">
        <v>26.8</v>
      </c>
      <c r="G65" s="6" t="n">
        <v>28.3</v>
      </c>
      <c r="H65" s="6" t="n">
        <v>46.3</v>
      </c>
      <c r="I65" s="2"/>
      <c r="J65" s="2"/>
      <c r="K65" s="6" t="n">
        <v>72</v>
      </c>
      <c r="L65" s="2"/>
      <c r="M65" s="2"/>
      <c r="N65" s="2"/>
      <c r="O65" s="2"/>
      <c r="P65" s="2"/>
      <c r="Q65" s="2"/>
      <c r="R65" s="10" t="str">
        <f aca="false">IF(Q64=0,"",Q65/Q64)</f>
        <v/>
      </c>
    </row>
    <row r="66" customFormat="false" ht="15" hidden="false" customHeight="false" outlineLevel="0" collapsed="false">
      <c r="A66" s="2"/>
      <c r="B66" s="2"/>
      <c r="C66" s="9" t="s">
        <v>45</v>
      </c>
      <c r="D66" s="6" t="n">
        <v>71.7</v>
      </c>
      <c r="E66" s="6" t="n">
        <v>71.7</v>
      </c>
      <c r="F66" s="6" t="n">
        <v>45.2</v>
      </c>
      <c r="G66" s="6" t="n">
        <v>43.8</v>
      </c>
      <c r="H66" s="6" t="n">
        <v>25.8</v>
      </c>
      <c r="I66" s="2"/>
      <c r="J66" s="2"/>
      <c r="K66" s="6" t="n">
        <v>0</v>
      </c>
      <c r="L66" s="2"/>
      <c r="M66" s="2"/>
      <c r="N66" s="2"/>
      <c r="O66" s="2"/>
      <c r="P66" s="2"/>
      <c r="Q66" s="2"/>
      <c r="R66" s="2"/>
    </row>
    <row r="67" customFormat="false" ht="15" hidden="false" customHeight="false" outlineLevel="0" collapsed="false">
      <c r="A67" s="7" t="s">
        <v>67</v>
      </c>
      <c r="B67" s="9" t="s">
        <v>60</v>
      </c>
      <c r="C67" s="9" t="s">
        <v>43</v>
      </c>
      <c r="D67" s="6" t="n">
        <v>149.9</v>
      </c>
      <c r="E67" s="6" t="n">
        <v>149.9</v>
      </c>
      <c r="F67" s="6" t="n">
        <v>171.9</v>
      </c>
      <c r="G67" s="6" t="n">
        <v>171.9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customFormat="false" ht="15" hidden="false" customHeight="false" outlineLevel="0" collapsed="false">
      <c r="A68" s="2"/>
      <c r="B68" s="2"/>
      <c r="C68" s="9" t="s">
        <v>44</v>
      </c>
      <c r="D68" s="6" t="n">
        <v>83.2</v>
      </c>
      <c r="E68" s="6" t="n">
        <v>83.2</v>
      </c>
      <c r="F68" s="6" t="n">
        <v>127</v>
      </c>
      <c r="G68" s="6" t="n">
        <v>148.9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10" t="str">
        <f aca="false">IF(Q67=0,"",Q68/Q67)</f>
        <v/>
      </c>
    </row>
    <row r="69" customFormat="false" ht="15" hidden="false" customHeight="false" outlineLevel="0" collapsed="false">
      <c r="A69" s="2"/>
      <c r="B69" s="2"/>
      <c r="C69" s="9" t="s">
        <v>45</v>
      </c>
      <c r="D69" s="6" t="n">
        <v>66.7</v>
      </c>
      <c r="E69" s="6" t="n">
        <v>66.7</v>
      </c>
      <c r="F69" s="6" t="n">
        <v>44.8</v>
      </c>
      <c r="G69" s="6" t="n">
        <v>22.9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customFormat="false" ht="15" hidden="false" customHeight="false" outlineLevel="0" collapsed="false">
      <c r="A70" s="7" t="s">
        <v>68</v>
      </c>
      <c r="B70" s="9" t="s">
        <v>60</v>
      </c>
      <c r="C70" s="9" t="s">
        <v>43</v>
      </c>
      <c r="D70" s="2"/>
      <c r="E70" s="2"/>
      <c r="F70" s="2"/>
      <c r="G70" s="2"/>
      <c r="H70" s="6" t="n">
        <v>165.8</v>
      </c>
      <c r="I70" s="6" t="n">
        <v>165.8</v>
      </c>
      <c r="J70" s="6" t="n">
        <v>165.8</v>
      </c>
      <c r="K70" s="6" t="n">
        <v>165.8</v>
      </c>
      <c r="L70" s="6" t="n">
        <v>165.8</v>
      </c>
      <c r="M70" s="6" t="n">
        <v>165.5</v>
      </c>
      <c r="N70" s="6" t="n">
        <v>165.5</v>
      </c>
      <c r="O70" s="6" t="n">
        <v>165.5</v>
      </c>
      <c r="P70" s="6" t="n">
        <v>165.3</v>
      </c>
      <c r="Q70" s="6" t="n">
        <v>165.6</v>
      </c>
      <c r="R70" s="2"/>
    </row>
    <row r="71" customFormat="false" ht="15" hidden="false" customHeight="false" outlineLevel="0" collapsed="false">
      <c r="A71" s="2"/>
      <c r="B71" s="2"/>
      <c r="C71" s="9" t="s">
        <v>44</v>
      </c>
      <c r="D71" s="2"/>
      <c r="E71" s="2"/>
      <c r="F71" s="2"/>
      <c r="G71" s="2"/>
      <c r="H71" s="6" t="n">
        <v>0</v>
      </c>
      <c r="I71" s="6" t="n">
        <v>0</v>
      </c>
      <c r="J71" s="6" t="n">
        <v>0</v>
      </c>
      <c r="K71" s="6" t="n">
        <v>12.6</v>
      </c>
      <c r="L71" s="6" t="n">
        <v>38.9</v>
      </c>
      <c r="M71" s="6" t="n">
        <v>38.9</v>
      </c>
      <c r="N71" s="6" t="n">
        <v>64.1</v>
      </c>
      <c r="O71" s="6" t="n">
        <v>93.4</v>
      </c>
      <c r="P71" s="6" t="n">
        <v>127.2</v>
      </c>
      <c r="Q71" s="6" t="n">
        <v>152.4</v>
      </c>
      <c r="R71" s="10" t="n">
        <f aca="false">IF(Q70=0,"",Q71/Q70)</f>
        <v>0.920289855072464</v>
      </c>
    </row>
    <row r="72" customFormat="false" ht="15" hidden="false" customHeight="false" outlineLevel="0" collapsed="false">
      <c r="A72" s="2"/>
      <c r="B72" s="2"/>
      <c r="C72" s="9" t="s">
        <v>45</v>
      </c>
      <c r="D72" s="2"/>
      <c r="E72" s="2"/>
      <c r="F72" s="2"/>
      <c r="G72" s="2"/>
      <c r="H72" s="6" t="n">
        <v>165.8</v>
      </c>
      <c r="I72" s="6" t="n">
        <v>165.8</v>
      </c>
      <c r="J72" s="6" t="n">
        <v>165.8</v>
      </c>
      <c r="K72" s="6" t="n">
        <v>153.2</v>
      </c>
      <c r="L72" s="6" t="n">
        <v>126.9</v>
      </c>
      <c r="M72" s="6" t="n">
        <v>126.7</v>
      </c>
      <c r="N72" s="6" t="n">
        <v>101.5</v>
      </c>
      <c r="O72" s="6" t="n">
        <v>72.1</v>
      </c>
      <c r="P72" s="6" t="n">
        <v>38.2</v>
      </c>
      <c r="Q72" s="6" t="n">
        <v>13.2</v>
      </c>
      <c r="R72" s="2"/>
    </row>
    <row r="73" customFormat="false" ht="15" hidden="false" customHeight="false" outlineLevel="0" collapsed="false">
      <c r="A73" s="7" t="s">
        <v>69</v>
      </c>
      <c r="B73" s="9" t="s">
        <v>60</v>
      </c>
      <c r="C73" s="9" t="s">
        <v>43</v>
      </c>
      <c r="D73" s="6" t="n">
        <v>21.1</v>
      </c>
      <c r="E73" s="6" t="n">
        <v>21.1</v>
      </c>
      <c r="F73" s="6" t="n">
        <v>21.1</v>
      </c>
      <c r="G73" s="6" t="n">
        <v>21.1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customFormat="false" ht="15" hidden="false" customHeight="false" outlineLevel="0" collapsed="false">
      <c r="A74" s="2"/>
      <c r="B74" s="2"/>
      <c r="C74" s="9" t="s">
        <v>44</v>
      </c>
      <c r="D74" s="6" t="n">
        <v>3</v>
      </c>
      <c r="E74" s="6" t="n">
        <v>10.7</v>
      </c>
      <c r="F74" s="6" t="n">
        <v>14.1</v>
      </c>
      <c r="G74" s="6" t="n">
        <v>14.1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10" t="str">
        <f aca="false">IF(Q73=0,"",Q74/Q73)</f>
        <v/>
      </c>
    </row>
    <row r="75" customFormat="false" ht="15" hidden="false" customHeight="false" outlineLevel="0" collapsed="false">
      <c r="A75" s="2"/>
      <c r="B75" s="2"/>
      <c r="C75" s="9" t="s">
        <v>45</v>
      </c>
      <c r="D75" s="6" t="n">
        <v>18.1</v>
      </c>
      <c r="E75" s="6" t="n">
        <v>10.3</v>
      </c>
      <c r="F75" s="6" t="n">
        <v>7</v>
      </c>
      <c r="G75" s="6" t="n">
        <v>6.9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 customFormat="false" ht="15" hidden="false" customHeight="false" outlineLevel="0" collapsed="false">
      <c r="A76" s="7" t="s">
        <v>70</v>
      </c>
      <c r="B76" s="9" t="s">
        <v>60</v>
      </c>
      <c r="C76" s="9" t="s">
        <v>43</v>
      </c>
      <c r="D76" s="2"/>
      <c r="E76" s="2"/>
      <c r="F76" s="2"/>
      <c r="G76" s="2"/>
      <c r="H76" s="2"/>
      <c r="I76" s="2"/>
      <c r="J76" s="2"/>
      <c r="K76" s="2"/>
      <c r="L76" s="6" t="n">
        <v>709.3</v>
      </c>
      <c r="M76" s="6" t="n">
        <v>709.3</v>
      </c>
      <c r="N76" s="6" t="n">
        <v>709.3</v>
      </c>
      <c r="O76" s="6" t="n">
        <v>709.3</v>
      </c>
      <c r="P76" s="6" t="n">
        <v>709.3</v>
      </c>
      <c r="Q76" s="6" t="n">
        <v>709.3</v>
      </c>
      <c r="R76" s="2"/>
    </row>
    <row r="77" customFormat="false" ht="15" hidden="false" customHeight="false" outlineLevel="0" collapsed="false">
      <c r="A77" s="2"/>
      <c r="B77" s="2"/>
      <c r="C77" s="9" t="s">
        <v>44</v>
      </c>
      <c r="D77" s="2"/>
      <c r="E77" s="2"/>
      <c r="F77" s="2"/>
      <c r="G77" s="2"/>
      <c r="H77" s="2"/>
      <c r="I77" s="2"/>
      <c r="J77" s="2"/>
      <c r="K77" s="2"/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10" t="n">
        <f aca="false">IF(Q76=0,"",Q77/Q76)</f>
        <v>0</v>
      </c>
    </row>
    <row r="78" customFormat="false" ht="15" hidden="false" customHeight="false" outlineLevel="0" collapsed="false">
      <c r="A78" s="2"/>
      <c r="B78" s="2"/>
      <c r="C78" s="9" t="s">
        <v>45</v>
      </c>
      <c r="D78" s="2"/>
      <c r="E78" s="2"/>
      <c r="F78" s="2"/>
      <c r="G78" s="2"/>
      <c r="H78" s="2"/>
      <c r="I78" s="2"/>
      <c r="J78" s="2"/>
      <c r="K78" s="2"/>
      <c r="L78" s="6" t="n">
        <v>709.3</v>
      </c>
      <c r="M78" s="6" t="n">
        <v>709.3</v>
      </c>
      <c r="N78" s="6" t="n">
        <v>709.3</v>
      </c>
      <c r="O78" s="6" t="n">
        <v>709.3</v>
      </c>
      <c r="P78" s="6" t="n">
        <v>709.3</v>
      </c>
      <c r="Q78" s="6" t="n">
        <v>709.3</v>
      </c>
      <c r="R78" s="2"/>
    </row>
    <row r="79" customFormat="false" ht="15" hidden="false" customHeight="false" outlineLevel="0" collapsed="false">
      <c r="A79" s="7" t="s">
        <v>71</v>
      </c>
      <c r="B79" s="9" t="s">
        <v>60</v>
      </c>
      <c r="C79" s="9" t="s">
        <v>43</v>
      </c>
      <c r="D79" s="6" t="n">
        <v>189.7</v>
      </c>
      <c r="E79" s="6" t="n">
        <v>189.7</v>
      </c>
      <c r="F79" s="6" t="n">
        <v>189.7</v>
      </c>
      <c r="G79" s="6" t="n">
        <v>189.7</v>
      </c>
      <c r="H79" s="6" t="n">
        <v>208.6</v>
      </c>
      <c r="I79" s="6" t="n">
        <v>208.6</v>
      </c>
      <c r="J79" s="6" t="n">
        <v>208.6</v>
      </c>
      <c r="K79" s="6" t="n">
        <v>208.6</v>
      </c>
      <c r="L79" s="6" t="n">
        <v>208.6</v>
      </c>
      <c r="M79" s="6" t="n">
        <v>211.4</v>
      </c>
      <c r="N79" s="6" t="n">
        <v>211.8</v>
      </c>
      <c r="O79" s="6" t="n">
        <v>212.1</v>
      </c>
      <c r="P79" s="6" t="n">
        <v>213.4</v>
      </c>
      <c r="Q79" s="6" t="n">
        <v>189.7</v>
      </c>
      <c r="R79" s="2"/>
    </row>
    <row r="80" customFormat="false" ht="15" hidden="false" customHeight="false" outlineLevel="0" collapsed="false">
      <c r="A80" s="2"/>
      <c r="B80" s="2"/>
      <c r="C80" s="9" t="s">
        <v>44</v>
      </c>
      <c r="D80" s="6" t="n">
        <v>2.8</v>
      </c>
      <c r="E80" s="6" t="n">
        <v>7.6</v>
      </c>
      <c r="F80" s="6" t="n">
        <v>11.9</v>
      </c>
      <c r="G80" s="6" t="n">
        <v>16.6</v>
      </c>
      <c r="H80" s="6" t="n">
        <v>36.4</v>
      </c>
      <c r="I80" s="6" t="n">
        <v>42</v>
      </c>
      <c r="J80" s="6" t="n">
        <v>42.7</v>
      </c>
      <c r="K80" s="6" t="n">
        <v>55.7</v>
      </c>
      <c r="L80" s="6" t="n">
        <v>67.4</v>
      </c>
      <c r="M80" s="6" t="n">
        <v>85.3</v>
      </c>
      <c r="N80" s="6" t="n">
        <v>92.4</v>
      </c>
      <c r="O80" s="6" t="n">
        <v>95.2</v>
      </c>
      <c r="P80" s="6" t="n">
        <v>111</v>
      </c>
      <c r="Q80" s="6" t="n">
        <v>118.8</v>
      </c>
      <c r="R80" s="10" t="n">
        <f aca="false">IF(Q79=0,"",Q80/Q79)</f>
        <v>0.626251976805482</v>
      </c>
    </row>
    <row r="81" customFormat="false" ht="15" hidden="false" customHeight="false" outlineLevel="0" collapsed="false">
      <c r="A81" s="2"/>
      <c r="B81" s="2"/>
      <c r="C81" s="9" t="s">
        <v>45</v>
      </c>
      <c r="D81" s="6" t="n">
        <v>186.9</v>
      </c>
      <c r="E81" s="6" t="n">
        <v>182.1</v>
      </c>
      <c r="F81" s="6" t="n">
        <v>177.7</v>
      </c>
      <c r="G81" s="6" t="n">
        <v>173</v>
      </c>
      <c r="H81" s="6" t="n">
        <v>172.3</v>
      </c>
      <c r="I81" s="6" t="n">
        <v>166.6</v>
      </c>
      <c r="J81" s="6" t="n">
        <v>165.9</v>
      </c>
      <c r="K81" s="6" t="n">
        <v>152.9</v>
      </c>
      <c r="L81" s="6" t="n">
        <v>141.2</v>
      </c>
      <c r="M81" s="6" t="n">
        <v>126</v>
      </c>
      <c r="N81" s="6" t="n">
        <v>119.4</v>
      </c>
      <c r="O81" s="6" t="n">
        <v>117</v>
      </c>
      <c r="P81" s="6" t="n">
        <v>102.4</v>
      </c>
      <c r="Q81" s="6" t="n">
        <v>70.8</v>
      </c>
      <c r="R81" s="2"/>
    </row>
    <row r="82" customFormat="false" ht="15" hidden="false" customHeight="false" outlineLevel="0" collapsed="false">
      <c r="A82" s="7" t="s">
        <v>72</v>
      </c>
      <c r="B82" s="9" t="s">
        <v>60</v>
      </c>
      <c r="C82" s="9" t="s">
        <v>43</v>
      </c>
      <c r="D82" s="2"/>
      <c r="E82" s="2"/>
      <c r="F82" s="2"/>
      <c r="G82" s="2"/>
      <c r="H82" s="2"/>
      <c r="I82" s="2"/>
      <c r="J82" s="2"/>
      <c r="K82" s="6" t="n">
        <v>79.5</v>
      </c>
      <c r="L82" s="6" t="n">
        <v>79.5</v>
      </c>
      <c r="M82" s="6" t="n">
        <v>79.5</v>
      </c>
      <c r="N82" s="6" t="n">
        <v>79.5</v>
      </c>
      <c r="O82" s="6" t="n">
        <v>79.5</v>
      </c>
      <c r="P82" s="2"/>
      <c r="Q82" s="2"/>
      <c r="R82" s="2"/>
    </row>
    <row r="83" customFormat="false" ht="15" hidden="false" customHeight="false" outlineLevel="0" collapsed="false">
      <c r="A83" s="2"/>
      <c r="B83" s="2"/>
      <c r="C83" s="9" t="s">
        <v>44</v>
      </c>
      <c r="D83" s="2"/>
      <c r="E83" s="2"/>
      <c r="F83" s="2"/>
      <c r="G83" s="2"/>
      <c r="H83" s="2"/>
      <c r="I83" s="2"/>
      <c r="J83" s="2"/>
      <c r="K83" s="6" t="n">
        <v>0</v>
      </c>
      <c r="L83" s="6" t="n">
        <v>74</v>
      </c>
      <c r="M83" s="6" t="n">
        <v>79.4</v>
      </c>
      <c r="N83" s="6" t="n">
        <v>79.4</v>
      </c>
      <c r="O83" s="6" t="n">
        <v>79.4</v>
      </c>
      <c r="P83" s="2"/>
      <c r="Q83" s="2"/>
      <c r="R83" s="10" t="str">
        <f aca="false">IF(Q82=0,"",Q83/Q82)</f>
        <v/>
      </c>
    </row>
    <row r="84" customFormat="false" ht="15" hidden="false" customHeight="false" outlineLevel="0" collapsed="false">
      <c r="A84" s="2"/>
      <c r="B84" s="2"/>
      <c r="C84" s="9" t="s">
        <v>45</v>
      </c>
      <c r="D84" s="2"/>
      <c r="E84" s="2"/>
      <c r="F84" s="2"/>
      <c r="G84" s="2"/>
      <c r="H84" s="2"/>
      <c r="I84" s="2"/>
      <c r="J84" s="2"/>
      <c r="K84" s="6" t="n">
        <v>79.5</v>
      </c>
      <c r="L84" s="6" t="n">
        <v>5.6</v>
      </c>
      <c r="M84" s="6" t="n">
        <v>0.2</v>
      </c>
      <c r="N84" s="6" t="n">
        <v>0.2</v>
      </c>
      <c r="O84" s="6" t="n">
        <v>0.2</v>
      </c>
      <c r="P84" s="2"/>
      <c r="Q84" s="2"/>
      <c r="R84" s="2"/>
    </row>
    <row r="85" customFormat="false" ht="15" hidden="false" customHeight="false" outlineLevel="0" collapsed="false">
      <c r="A85" s="7" t="s">
        <v>73</v>
      </c>
      <c r="B85" s="9" t="s">
        <v>60</v>
      </c>
      <c r="C85" s="9" t="s">
        <v>43</v>
      </c>
      <c r="D85" s="6" t="n">
        <v>51.2</v>
      </c>
      <c r="E85" s="6" t="n">
        <v>51.2</v>
      </c>
      <c r="F85" s="6" t="n">
        <v>55.1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 customFormat="false" ht="15" hidden="false" customHeight="false" outlineLevel="0" collapsed="false">
      <c r="A86" s="2"/>
      <c r="B86" s="2"/>
      <c r="C86" s="9" t="s">
        <v>44</v>
      </c>
      <c r="D86" s="6" t="n">
        <v>37.1</v>
      </c>
      <c r="E86" s="6" t="n">
        <v>38.4</v>
      </c>
      <c r="F86" s="6" t="n">
        <v>39.1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10" t="str">
        <f aca="false">IF(Q85=0,"",Q86/Q85)</f>
        <v/>
      </c>
    </row>
    <row r="87" customFormat="false" ht="15" hidden="false" customHeight="false" outlineLevel="0" collapsed="false">
      <c r="A87" s="2"/>
      <c r="B87" s="2"/>
      <c r="C87" s="9" t="s">
        <v>45</v>
      </c>
      <c r="D87" s="6" t="n">
        <v>14.1</v>
      </c>
      <c r="E87" s="6" t="n">
        <v>12.8</v>
      </c>
      <c r="F87" s="6" t="n">
        <v>16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 customFormat="false" ht="15" hidden="false" customHeight="false" outlineLevel="0" collapsed="false">
      <c r="A88" s="7" t="s">
        <v>74</v>
      </c>
      <c r="B88" s="9" t="s">
        <v>60</v>
      </c>
      <c r="C88" s="9" t="s">
        <v>43</v>
      </c>
      <c r="D88" s="2"/>
      <c r="E88" s="2"/>
      <c r="F88" s="2"/>
      <c r="G88" s="6" t="n">
        <v>149.6</v>
      </c>
      <c r="H88" s="6" t="n">
        <v>164.6</v>
      </c>
      <c r="I88" s="6" t="n">
        <v>164.6</v>
      </c>
      <c r="J88" s="6" t="n">
        <v>164.6</v>
      </c>
      <c r="K88" s="6" t="n">
        <v>164.6</v>
      </c>
      <c r="L88" s="6" t="n">
        <v>164.6</v>
      </c>
      <c r="M88" s="6" t="n">
        <v>165.7</v>
      </c>
      <c r="N88" s="6" t="n">
        <v>166.4</v>
      </c>
      <c r="O88" s="6" t="n">
        <v>167.9</v>
      </c>
      <c r="P88" s="6" t="n">
        <v>168.3</v>
      </c>
      <c r="Q88" s="6" t="n">
        <v>149.6</v>
      </c>
      <c r="R88" s="2"/>
    </row>
    <row r="89" customFormat="false" ht="15" hidden="false" customHeight="false" outlineLevel="0" collapsed="false">
      <c r="A89" s="2"/>
      <c r="B89" s="2"/>
      <c r="C89" s="9" t="s">
        <v>44</v>
      </c>
      <c r="D89" s="2"/>
      <c r="E89" s="2"/>
      <c r="F89" s="2"/>
      <c r="G89" s="6" t="n">
        <v>0</v>
      </c>
      <c r="H89" s="6" t="n">
        <v>8.1</v>
      </c>
      <c r="I89" s="6" t="n">
        <v>14.2</v>
      </c>
      <c r="J89" s="6" t="n">
        <v>14.6</v>
      </c>
      <c r="K89" s="6" t="n">
        <v>19.8</v>
      </c>
      <c r="L89" s="6" t="n">
        <v>29.4</v>
      </c>
      <c r="M89" s="6" t="n">
        <v>34.8</v>
      </c>
      <c r="N89" s="6" t="n">
        <v>43.9</v>
      </c>
      <c r="O89" s="6" t="n">
        <v>50.4</v>
      </c>
      <c r="P89" s="6" t="n">
        <v>62.5</v>
      </c>
      <c r="Q89" s="6" t="n">
        <v>78.4</v>
      </c>
      <c r="R89" s="10" t="n">
        <f aca="false">IF(Q88=0,"",Q89/Q88)</f>
        <v>0.524064171122995</v>
      </c>
    </row>
    <row r="90" customFormat="false" ht="15" hidden="false" customHeight="false" outlineLevel="0" collapsed="false">
      <c r="A90" s="2"/>
      <c r="B90" s="2"/>
      <c r="C90" s="9" t="s">
        <v>45</v>
      </c>
      <c r="D90" s="2"/>
      <c r="E90" s="2"/>
      <c r="F90" s="2"/>
      <c r="G90" s="6" t="n">
        <v>149.6</v>
      </c>
      <c r="H90" s="6" t="n">
        <v>156.5</v>
      </c>
      <c r="I90" s="6" t="n">
        <v>150.4</v>
      </c>
      <c r="J90" s="6" t="n">
        <v>150</v>
      </c>
      <c r="K90" s="6" t="n">
        <v>144.8</v>
      </c>
      <c r="L90" s="6" t="n">
        <v>135.2</v>
      </c>
      <c r="M90" s="6" t="n">
        <v>130.9</v>
      </c>
      <c r="N90" s="6" t="n">
        <v>122.5</v>
      </c>
      <c r="O90" s="6" t="n">
        <v>117.5</v>
      </c>
      <c r="P90" s="6" t="n">
        <v>105.9</v>
      </c>
      <c r="Q90" s="6" t="n">
        <v>71.2</v>
      </c>
      <c r="R90" s="2"/>
    </row>
    <row r="91" customFormat="false" ht="15" hidden="false" customHeight="false" outlineLevel="0" collapsed="false">
      <c r="A91" s="7" t="s">
        <v>75</v>
      </c>
      <c r="B91" s="9" t="s">
        <v>60</v>
      </c>
      <c r="C91" s="9" t="s">
        <v>43</v>
      </c>
      <c r="D91" s="6" t="n">
        <v>118.1</v>
      </c>
      <c r="E91" s="6" t="n">
        <v>118.1</v>
      </c>
      <c r="F91" s="6" t="n">
        <v>118.7</v>
      </c>
      <c r="G91" s="6" t="n">
        <v>118.7</v>
      </c>
      <c r="H91" s="6" t="n">
        <v>118.7</v>
      </c>
      <c r="I91" s="6" t="n">
        <v>118.7</v>
      </c>
      <c r="J91" s="6" t="n">
        <v>118.7</v>
      </c>
      <c r="K91" s="6" t="n">
        <v>118.7</v>
      </c>
      <c r="L91" s="6" t="n">
        <v>118.7</v>
      </c>
      <c r="M91" s="6" t="n">
        <v>81.9</v>
      </c>
      <c r="N91" s="6" t="n">
        <v>81.9</v>
      </c>
      <c r="O91" s="6" t="n">
        <v>81.9</v>
      </c>
      <c r="P91" s="2"/>
      <c r="Q91" s="2"/>
      <c r="R91" s="2"/>
    </row>
    <row r="92" customFormat="false" ht="15" hidden="false" customHeight="false" outlineLevel="0" collapsed="false">
      <c r="A92" s="2"/>
      <c r="B92" s="2"/>
      <c r="C92" s="9" t="s">
        <v>44</v>
      </c>
      <c r="D92" s="6" t="n">
        <v>0</v>
      </c>
      <c r="E92" s="6" t="n">
        <v>0</v>
      </c>
      <c r="F92" s="6" t="n">
        <v>0</v>
      </c>
      <c r="G92" s="6" t="n">
        <v>0</v>
      </c>
      <c r="H92" s="6" t="n">
        <v>0</v>
      </c>
      <c r="I92" s="6" t="n">
        <v>0</v>
      </c>
      <c r="J92" s="6" t="n">
        <v>0</v>
      </c>
      <c r="K92" s="6" t="n">
        <v>12.3</v>
      </c>
      <c r="L92" s="6" t="n">
        <v>16.4</v>
      </c>
      <c r="M92" s="6" t="n">
        <v>22.5</v>
      </c>
      <c r="N92" s="6" t="n">
        <v>47.1</v>
      </c>
      <c r="O92" s="6" t="n">
        <v>53.2</v>
      </c>
      <c r="P92" s="2"/>
      <c r="Q92" s="2"/>
      <c r="R92" s="10" t="str">
        <f aca="false">IF(Q91=0,"",Q92/Q91)</f>
        <v/>
      </c>
    </row>
    <row r="93" customFormat="false" ht="15" hidden="false" customHeight="false" outlineLevel="0" collapsed="false">
      <c r="A93" s="2"/>
      <c r="B93" s="2"/>
      <c r="C93" s="9" t="s">
        <v>45</v>
      </c>
      <c r="D93" s="6" t="n">
        <v>118.1</v>
      </c>
      <c r="E93" s="6" t="n">
        <v>118.1</v>
      </c>
      <c r="F93" s="6" t="n">
        <v>118.7</v>
      </c>
      <c r="G93" s="6" t="n">
        <v>118.7</v>
      </c>
      <c r="H93" s="6" t="n">
        <v>118.7</v>
      </c>
      <c r="I93" s="6" t="n">
        <v>118.7</v>
      </c>
      <c r="J93" s="6" t="n">
        <v>118.7</v>
      </c>
      <c r="K93" s="6" t="n">
        <v>106.4</v>
      </c>
      <c r="L93" s="6" t="n">
        <v>102.4</v>
      </c>
      <c r="M93" s="6" t="n">
        <v>59.4</v>
      </c>
      <c r="N93" s="6" t="n">
        <v>34.8</v>
      </c>
      <c r="O93" s="6" t="n">
        <v>28.7</v>
      </c>
      <c r="P93" s="2"/>
      <c r="Q93" s="2"/>
      <c r="R93" s="2"/>
    </row>
    <row r="94" customFormat="false" ht="15" hidden="false" customHeight="false" outlineLevel="0" collapsed="false">
      <c r="A94" s="7" t="s">
        <v>76</v>
      </c>
      <c r="B94" s="9" t="s">
        <v>60</v>
      </c>
      <c r="C94" s="9" t="s">
        <v>43</v>
      </c>
      <c r="D94" s="6" t="n">
        <v>63.6</v>
      </c>
      <c r="E94" s="6" t="n">
        <v>63.6</v>
      </c>
      <c r="F94" s="6" t="n">
        <v>68.7</v>
      </c>
      <c r="G94" s="6" t="n">
        <v>68.7</v>
      </c>
      <c r="H94" s="6" t="n">
        <v>68.7</v>
      </c>
      <c r="I94" s="6" t="n">
        <v>68.7</v>
      </c>
      <c r="J94" s="6" t="n">
        <v>68.7</v>
      </c>
      <c r="K94" s="6" t="n">
        <v>68.7</v>
      </c>
      <c r="L94" s="2"/>
      <c r="M94" s="2"/>
      <c r="N94" s="2"/>
      <c r="O94" s="2"/>
      <c r="P94" s="2"/>
      <c r="Q94" s="2"/>
      <c r="R94" s="2"/>
    </row>
    <row r="95" customFormat="false" ht="15" hidden="false" customHeight="false" outlineLevel="0" collapsed="false">
      <c r="A95" s="2"/>
      <c r="B95" s="2"/>
      <c r="C95" s="9" t="s">
        <v>44</v>
      </c>
      <c r="D95" s="6" t="n">
        <v>24.3</v>
      </c>
      <c r="E95" s="6" t="n">
        <v>23.8</v>
      </c>
      <c r="F95" s="6" t="n">
        <v>45</v>
      </c>
      <c r="G95" s="6" t="n">
        <v>54.8</v>
      </c>
      <c r="H95" s="6" t="n">
        <v>50.5</v>
      </c>
      <c r="I95" s="6" t="n">
        <v>50.5</v>
      </c>
      <c r="J95" s="6" t="n">
        <v>55.6</v>
      </c>
      <c r="K95" s="6" t="n">
        <v>63.8</v>
      </c>
      <c r="L95" s="2"/>
      <c r="M95" s="2"/>
      <c r="N95" s="2"/>
      <c r="O95" s="2"/>
      <c r="P95" s="2"/>
      <c r="Q95" s="2"/>
      <c r="R95" s="10" t="str">
        <f aca="false">IF(Q94=0,"",Q95/Q94)</f>
        <v/>
      </c>
    </row>
    <row r="96" customFormat="false" ht="15" hidden="false" customHeight="false" outlineLevel="0" collapsed="false">
      <c r="A96" s="2"/>
      <c r="B96" s="2"/>
      <c r="C96" s="9" t="s">
        <v>45</v>
      </c>
      <c r="D96" s="6" t="n">
        <v>39.3</v>
      </c>
      <c r="E96" s="6" t="n">
        <v>39.8</v>
      </c>
      <c r="F96" s="6" t="n">
        <v>23.7</v>
      </c>
      <c r="G96" s="6" t="n">
        <v>13.9</v>
      </c>
      <c r="H96" s="6" t="n">
        <v>18.2</v>
      </c>
      <c r="I96" s="6" t="n">
        <v>18.2</v>
      </c>
      <c r="J96" s="6" t="n">
        <v>13.1</v>
      </c>
      <c r="K96" s="6" t="n">
        <v>4.9</v>
      </c>
      <c r="L96" s="2"/>
      <c r="M96" s="2"/>
      <c r="N96" s="2"/>
      <c r="O96" s="2"/>
      <c r="P96" s="2"/>
      <c r="Q96" s="2"/>
      <c r="R96" s="2"/>
    </row>
    <row r="97" customFormat="false" ht="15" hidden="false" customHeight="false" outlineLevel="0" collapsed="false">
      <c r="A97" s="7" t="s">
        <v>77</v>
      </c>
      <c r="B97" s="9" t="s">
        <v>60</v>
      </c>
      <c r="C97" s="9" t="s">
        <v>43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6" t="n">
        <v>705.4</v>
      </c>
      <c r="Q97" s="6" t="n">
        <v>705.4</v>
      </c>
      <c r="R97" s="2"/>
    </row>
    <row r="98" customFormat="false" ht="15" hidden="false" customHeight="false" outlineLevel="0" collapsed="false">
      <c r="A98" s="2"/>
      <c r="B98" s="2"/>
      <c r="C98" s="9" t="s">
        <v>44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6" t="n">
        <v>0</v>
      </c>
      <c r="Q98" s="6" t="n">
        <v>0</v>
      </c>
      <c r="R98" s="10" t="n">
        <f aca="false">IF(Q97=0,"",Q98/Q97)</f>
        <v>0</v>
      </c>
    </row>
    <row r="99" customFormat="false" ht="15" hidden="false" customHeight="false" outlineLevel="0" collapsed="false">
      <c r="A99" s="2"/>
      <c r="B99" s="2"/>
      <c r="C99" s="9" t="s">
        <v>45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6" t="n">
        <v>705.4</v>
      </c>
      <c r="Q99" s="6" t="n">
        <v>705.4</v>
      </c>
      <c r="R99" s="2"/>
    </row>
    <row r="100" customFormat="false" ht="15" hidden="false" customHeight="false" outlineLevel="0" collapsed="false">
      <c r="A100" s="7" t="s">
        <v>78</v>
      </c>
      <c r="B100" s="9" t="s">
        <v>60</v>
      </c>
      <c r="C100" s="9" t="s">
        <v>43</v>
      </c>
      <c r="D100" s="2"/>
      <c r="E100" s="2"/>
      <c r="F100" s="2"/>
      <c r="G100" s="2"/>
      <c r="H100" s="2"/>
      <c r="I100" s="2"/>
      <c r="J100" s="2"/>
      <c r="K100" s="2"/>
      <c r="L100" s="6" t="n">
        <v>948.5</v>
      </c>
      <c r="M100" s="6" t="n">
        <v>954.3</v>
      </c>
      <c r="N100" s="6" t="n">
        <v>906.5</v>
      </c>
      <c r="O100" s="6" t="n">
        <v>926.4</v>
      </c>
      <c r="P100" s="6" t="n">
        <v>940.6</v>
      </c>
      <c r="Q100" s="6" t="n">
        <v>957.9</v>
      </c>
      <c r="R100" s="2"/>
    </row>
    <row r="101" customFormat="false" ht="15" hidden="false" customHeight="false" outlineLevel="0" collapsed="false">
      <c r="A101" s="2"/>
      <c r="B101" s="2"/>
      <c r="C101" s="9" t="s">
        <v>44</v>
      </c>
      <c r="D101" s="2"/>
      <c r="E101" s="2"/>
      <c r="F101" s="2"/>
      <c r="G101" s="2"/>
      <c r="H101" s="2"/>
      <c r="I101" s="2"/>
      <c r="J101" s="2"/>
      <c r="K101" s="2"/>
      <c r="L101" s="6" t="n">
        <v>0</v>
      </c>
      <c r="M101" s="6" t="n">
        <v>0</v>
      </c>
      <c r="N101" s="6" t="n">
        <v>0.1</v>
      </c>
      <c r="O101" s="6" t="n">
        <v>0.1</v>
      </c>
      <c r="P101" s="6" t="n">
        <v>0.1</v>
      </c>
      <c r="Q101" s="6" t="n">
        <v>0.2</v>
      </c>
      <c r="R101" s="10" t="n">
        <f aca="false">IF(Q100=0,"",Q101/Q100)</f>
        <v>0.000208790061593068</v>
      </c>
    </row>
    <row r="102" customFormat="false" ht="15" hidden="false" customHeight="false" outlineLevel="0" collapsed="false">
      <c r="A102" s="2"/>
      <c r="B102" s="2"/>
      <c r="C102" s="9" t="s">
        <v>45</v>
      </c>
      <c r="D102" s="2"/>
      <c r="E102" s="2"/>
      <c r="F102" s="2"/>
      <c r="G102" s="2"/>
      <c r="H102" s="2"/>
      <c r="I102" s="2"/>
      <c r="J102" s="2"/>
      <c r="K102" s="2"/>
      <c r="L102" s="6" t="n">
        <v>948.5</v>
      </c>
      <c r="M102" s="6" t="n">
        <v>954.3</v>
      </c>
      <c r="N102" s="6" t="n">
        <v>906.5</v>
      </c>
      <c r="O102" s="6" t="n">
        <v>926.3</v>
      </c>
      <c r="P102" s="6" t="n">
        <v>940.5</v>
      </c>
      <c r="Q102" s="6" t="n">
        <v>957.7</v>
      </c>
      <c r="R102" s="2"/>
    </row>
    <row r="103" customFormat="false" ht="15" hidden="false" customHeight="false" outlineLevel="0" collapsed="false">
      <c r="A103" s="4" t="s">
        <v>79</v>
      </c>
      <c r="B103" s="9" t="s">
        <v>60</v>
      </c>
      <c r="C103" s="9" t="s">
        <v>43</v>
      </c>
      <c r="D103" s="6" t="n">
        <v>75.3</v>
      </c>
      <c r="E103" s="6" t="n">
        <v>75.3</v>
      </c>
      <c r="F103" s="6" t="n">
        <v>75.2</v>
      </c>
      <c r="G103" s="6" t="n">
        <v>75.2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</row>
    <row r="104" customFormat="false" ht="15" hidden="false" customHeight="false" outlineLevel="0" collapsed="false">
      <c r="A104" s="2"/>
      <c r="B104" s="2"/>
      <c r="C104" s="9" t="s">
        <v>44</v>
      </c>
      <c r="D104" s="6" t="n">
        <v>37.3</v>
      </c>
      <c r="E104" s="6" t="n">
        <v>46.6</v>
      </c>
      <c r="F104" s="6" t="n">
        <v>55.7</v>
      </c>
      <c r="G104" s="6" t="n">
        <v>65.2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10" t="str">
        <f aca="false">IF(Q103=0,"",Q104/Q103)</f>
        <v/>
      </c>
    </row>
    <row r="105" customFormat="false" ht="15" hidden="false" customHeight="false" outlineLevel="0" collapsed="false">
      <c r="A105" s="2"/>
      <c r="B105" s="2"/>
      <c r="C105" s="9" t="s">
        <v>45</v>
      </c>
      <c r="D105" s="6" t="n">
        <v>38</v>
      </c>
      <c r="E105" s="6" t="n">
        <v>28.7</v>
      </c>
      <c r="F105" s="6" t="n">
        <v>19.5</v>
      </c>
      <c r="G105" s="6" t="n">
        <v>10.1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</row>
    <row r="106" customFormat="false" ht="15" hidden="false" customHeight="false" outlineLevel="0" collapsed="false">
      <c r="A106" s="4" t="s">
        <v>80</v>
      </c>
      <c r="B106" s="9" t="s">
        <v>60</v>
      </c>
      <c r="C106" s="9" t="s">
        <v>43</v>
      </c>
      <c r="D106" s="6" t="n">
        <v>462</v>
      </c>
      <c r="E106" s="6" t="n">
        <v>462</v>
      </c>
      <c r="F106" s="6" t="n">
        <v>462</v>
      </c>
      <c r="G106" s="6" t="n">
        <v>462</v>
      </c>
      <c r="H106" s="6" t="n">
        <v>508.2</v>
      </c>
      <c r="I106" s="6" t="n">
        <v>508.2</v>
      </c>
      <c r="J106" s="6" t="n">
        <v>508.2</v>
      </c>
      <c r="K106" s="6" t="n">
        <v>508.2</v>
      </c>
      <c r="L106" s="6" t="n">
        <v>508.2</v>
      </c>
      <c r="M106" s="6" t="n">
        <v>506.6</v>
      </c>
      <c r="N106" s="6" t="n">
        <v>508.1</v>
      </c>
      <c r="O106" s="6" t="n">
        <v>510.3</v>
      </c>
      <c r="P106" s="6" t="n">
        <v>510.3</v>
      </c>
      <c r="Q106" s="6" t="n">
        <v>462.1</v>
      </c>
      <c r="R106" s="2"/>
    </row>
    <row r="107" customFormat="false" ht="15" hidden="false" customHeight="false" outlineLevel="0" collapsed="false">
      <c r="A107" s="2"/>
      <c r="B107" s="2"/>
      <c r="C107" s="9" t="s">
        <v>44</v>
      </c>
      <c r="D107" s="6" t="n">
        <v>0</v>
      </c>
      <c r="E107" s="6" t="n">
        <v>0</v>
      </c>
      <c r="F107" s="6" t="n">
        <v>0</v>
      </c>
      <c r="G107" s="6" t="n">
        <v>0</v>
      </c>
      <c r="H107" s="6" t="n">
        <v>0</v>
      </c>
      <c r="I107" s="6" t="n">
        <v>0</v>
      </c>
      <c r="J107" s="6" t="n">
        <v>78.4</v>
      </c>
      <c r="K107" s="6" t="n">
        <v>78.4</v>
      </c>
      <c r="L107" s="6" t="n">
        <v>94.5</v>
      </c>
      <c r="M107" s="6" t="n">
        <v>95.8</v>
      </c>
      <c r="N107" s="6" t="n">
        <v>96.1</v>
      </c>
      <c r="O107" s="6" t="n">
        <v>167.1</v>
      </c>
      <c r="P107" s="6" t="n">
        <v>258</v>
      </c>
      <c r="Q107" s="6" t="n">
        <v>285.6</v>
      </c>
      <c r="R107" s="10" t="n">
        <f aca="false">IF(Q106=0,"",Q107/Q106)</f>
        <v>0.618048041549448</v>
      </c>
    </row>
    <row r="108" customFormat="false" ht="15" hidden="false" customHeight="false" outlineLevel="0" collapsed="false">
      <c r="A108" s="2"/>
      <c r="B108" s="2"/>
      <c r="C108" s="9" t="s">
        <v>45</v>
      </c>
      <c r="D108" s="6" t="n">
        <v>462</v>
      </c>
      <c r="E108" s="6" t="n">
        <v>462</v>
      </c>
      <c r="F108" s="6" t="n">
        <v>462</v>
      </c>
      <c r="G108" s="6" t="n">
        <v>462</v>
      </c>
      <c r="H108" s="6" t="n">
        <v>508.2</v>
      </c>
      <c r="I108" s="6" t="n">
        <v>508.2</v>
      </c>
      <c r="J108" s="6" t="n">
        <v>429.8</v>
      </c>
      <c r="K108" s="6" t="n">
        <v>429.8</v>
      </c>
      <c r="L108" s="6" t="n">
        <v>413.7</v>
      </c>
      <c r="M108" s="6" t="n">
        <v>410.8</v>
      </c>
      <c r="N108" s="6" t="n">
        <v>412</v>
      </c>
      <c r="O108" s="6" t="n">
        <v>343.3</v>
      </c>
      <c r="P108" s="6" t="n">
        <v>252.3</v>
      </c>
      <c r="Q108" s="6" t="n">
        <v>176.5</v>
      </c>
      <c r="R108" s="2"/>
    </row>
    <row r="109" customFormat="false" ht="15" hidden="false" customHeight="false" outlineLevel="0" collapsed="false">
      <c r="A109" s="4" t="s">
        <v>81</v>
      </c>
      <c r="B109" s="9" t="s">
        <v>60</v>
      </c>
      <c r="C109" s="9" t="s">
        <v>43</v>
      </c>
      <c r="D109" s="6" t="n">
        <v>189.3</v>
      </c>
      <c r="E109" s="6" t="n">
        <v>185.3</v>
      </c>
      <c r="F109" s="6" t="n">
        <v>185.3</v>
      </c>
      <c r="G109" s="6" t="n">
        <v>185.8</v>
      </c>
      <c r="H109" s="6" t="n">
        <v>193</v>
      </c>
      <c r="I109" s="6" t="n">
        <v>206.2</v>
      </c>
      <c r="J109" s="6" t="n">
        <v>264.6</v>
      </c>
      <c r="K109" s="6" t="n">
        <v>273.8</v>
      </c>
      <c r="L109" s="6" t="n">
        <v>274.9</v>
      </c>
      <c r="M109" s="6" t="n">
        <v>302.9</v>
      </c>
      <c r="N109" s="6" t="n">
        <v>336.4</v>
      </c>
      <c r="O109" s="2"/>
      <c r="P109" s="6" t="n">
        <v>403.7</v>
      </c>
      <c r="Q109" s="2"/>
      <c r="R109" s="2"/>
    </row>
    <row r="110" customFormat="false" ht="15" hidden="false" customHeight="false" outlineLevel="0" collapsed="false">
      <c r="A110" s="2"/>
      <c r="B110" s="2"/>
      <c r="C110" s="9" t="s">
        <v>44</v>
      </c>
      <c r="D110" s="6" t="n">
        <v>62.6</v>
      </c>
      <c r="E110" s="6" t="n">
        <v>91.4</v>
      </c>
      <c r="F110" s="6" t="n">
        <v>99.6</v>
      </c>
      <c r="G110" s="6" t="n">
        <v>110.2</v>
      </c>
      <c r="H110" s="6" t="n">
        <v>118.8</v>
      </c>
      <c r="I110" s="6" t="n">
        <v>145.7</v>
      </c>
      <c r="J110" s="6" t="n">
        <v>169.9</v>
      </c>
      <c r="K110" s="6" t="n">
        <v>174.4</v>
      </c>
      <c r="L110" s="6" t="n">
        <v>184.9</v>
      </c>
      <c r="M110" s="6" t="n">
        <v>207.9</v>
      </c>
      <c r="N110" s="6" t="n">
        <v>220.8</v>
      </c>
      <c r="O110" s="2"/>
      <c r="P110" s="6" t="n">
        <v>255.6</v>
      </c>
      <c r="Q110" s="2"/>
      <c r="R110" s="10" t="str">
        <f aca="false">IF(Q109=0,"",Q110/Q109)</f>
        <v/>
      </c>
    </row>
    <row r="111" customFormat="false" ht="15" hidden="false" customHeight="false" outlineLevel="0" collapsed="false">
      <c r="A111" s="2"/>
      <c r="B111" s="2"/>
      <c r="C111" s="9" t="s">
        <v>45</v>
      </c>
      <c r="D111" s="6" t="n">
        <v>126.7</v>
      </c>
      <c r="E111" s="6" t="n">
        <v>93.9</v>
      </c>
      <c r="F111" s="6" t="n">
        <v>85.7</v>
      </c>
      <c r="G111" s="6" t="n">
        <v>75.7</v>
      </c>
      <c r="H111" s="6" t="n">
        <v>74.3</v>
      </c>
      <c r="I111" s="6" t="n">
        <v>60.5</v>
      </c>
      <c r="J111" s="6" t="n">
        <v>94.7</v>
      </c>
      <c r="K111" s="6" t="n">
        <v>99.4</v>
      </c>
      <c r="L111" s="6" t="n">
        <v>89.9</v>
      </c>
      <c r="M111" s="6" t="n">
        <v>95</v>
      </c>
      <c r="N111" s="6" t="n">
        <v>115.6</v>
      </c>
      <c r="O111" s="2"/>
      <c r="P111" s="6" t="n">
        <v>148.1</v>
      </c>
      <c r="Q111" s="2"/>
      <c r="R111" s="2"/>
    </row>
    <row r="112" customFormat="false" ht="15" hidden="false" customHeight="false" outlineLevel="0" collapsed="false">
      <c r="A112" s="4" t="s">
        <v>82</v>
      </c>
      <c r="B112" s="9" t="s">
        <v>60</v>
      </c>
      <c r="C112" s="9" t="s">
        <v>43</v>
      </c>
      <c r="D112" s="6" t="n">
        <v>687.8</v>
      </c>
      <c r="E112" s="6" t="n">
        <v>687.8</v>
      </c>
      <c r="F112" s="6" t="n">
        <v>687.8</v>
      </c>
      <c r="G112" s="6" t="n">
        <v>687.8</v>
      </c>
      <c r="H112" s="6" t="n">
        <v>687.8</v>
      </c>
      <c r="I112" s="6" t="n">
        <v>687.8</v>
      </c>
      <c r="J112" s="6" t="n">
        <v>687.8</v>
      </c>
      <c r="K112" s="6" t="n">
        <v>687.8</v>
      </c>
      <c r="L112" s="6" t="n">
        <v>687.8</v>
      </c>
      <c r="M112" s="6" t="n">
        <v>686.2</v>
      </c>
      <c r="N112" s="6" t="n">
        <v>686.2</v>
      </c>
      <c r="O112" s="6" t="n">
        <v>713.8</v>
      </c>
      <c r="P112" s="6" t="n">
        <v>734.2</v>
      </c>
      <c r="Q112" s="6" t="n">
        <v>687.1</v>
      </c>
      <c r="R112" s="2"/>
    </row>
    <row r="113" customFormat="false" ht="15" hidden="false" customHeight="false" outlineLevel="0" collapsed="false">
      <c r="A113" s="2"/>
      <c r="B113" s="2"/>
      <c r="C113" s="9" t="s">
        <v>44</v>
      </c>
      <c r="D113" s="6" t="n">
        <v>147.8</v>
      </c>
      <c r="E113" s="6" t="n">
        <v>148</v>
      </c>
      <c r="F113" s="6" t="n">
        <v>148.5</v>
      </c>
      <c r="G113" s="6" t="n">
        <v>202.9</v>
      </c>
      <c r="H113" s="6" t="n">
        <v>359.9</v>
      </c>
      <c r="I113" s="6" t="n">
        <v>359.9</v>
      </c>
      <c r="J113" s="6" t="n">
        <v>359.9</v>
      </c>
      <c r="K113" s="6" t="n">
        <v>437.8</v>
      </c>
      <c r="L113" s="6" t="n">
        <v>552.5</v>
      </c>
      <c r="M113" s="6" t="n">
        <v>552.6</v>
      </c>
      <c r="N113" s="6" t="n">
        <v>553.8</v>
      </c>
      <c r="O113" s="6" t="n">
        <v>630.4</v>
      </c>
      <c r="P113" s="6" t="n">
        <v>733.6</v>
      </c>
      <c r="Q113" s="6" t="n">
        <v>686.7</v>
      </c>
      <c r="R113" s="10" t="n">
        <f aca="false">IF(Q112=0,"",Q113/Q112)</f>
        <v>0.999417843108718</v>
      </c>
    </row>
    <row r="114" customFormat="false" ht="15" hidden="false" customHeight="false" outlineLevel="0" collapsed="false">
      <c r="A114" s="2"/>
      <c r="B114" s="2"/>
      <c r="C114" s="9" t="s">
        <v>45</v>
      </c>
      <c r="D114" s="6" t="n">
        <v>539.9</v>
      </c>
      <c r="E114" s="6" t="n">
        <v>539.8</v>
      </c>
      <c r="F114" s="6" t="n">
        <v>539.2</v>
      </c>
      <c r="G114" s="6" t="n">
        <v>484.9</v>
      </c>
      <c r="H114" s="6" t="n">
        <v>327.9</v>
      </c>
      <c r="I114" s="6" t="n">
        <v>327.9</v>
      </c>
      <c r="J114" s="6" t="n">
        <v>327.9</v>
      </c>
      <c r="K114" s="6" t="n">
        <v>250</v>
      </c>
      <c r="L114" s="6" t="n">
        <v>135.2</v>
      </c>
      <c r="M114" s="6" t="n">
        <v>133.6</v>
      </c>
      <c r="N114" s="6" t="n">
        <v>132.4</v>
      </c>
      <c r="O114" s="6" t="n">
        <v>83.4</v>
      </c>
      <c r="P114" s="6" t="n">
        <v>0.7</v>
      </c>
      <c r="Q114" s="6" t="n">
        <v>0.3</v>
      </c>
      <c r="R114" s="2"/>
    </row>
    <row r="115" customFormat="false" ht="15" hidden="false" customHeight="false" outlineLevel="0" collapsed="false">
      <c r="A115" s="4" t="s">
        <v>83</v>
      </c>
      <c r="B115" s="9" t="s">
        <v>60</v>
      </c>
      <c r="C115" s="9" t="s">
        <v>43</v>
      </c>
      <c r="D115" s="6" t="n">
        <v>836.6</v>
      </c>
      <c r="E115" s="6" t="n">
        <v>836.6</v>
      </c>
      <c r="F115" s="6" t="n">
        <v>847.1</v>
      </c>
      <c r="G115" s="6" t="n">
        <v>847.1</v>
      </c>
      <c r="H115" s="6" t="n">
        <v>847.2</v>
      </c>
      <c r="I115" s="6" t="n">
        <v>847.2</v>
      </c>
      <c r="J115" s="6" t="n">
        <v>847.2</v>
      </c>
      <c r="K115" s="6" t="n">
        <v>847.2</v>
      </c>
      <c r="L115" s="6" t="n">
        <v>847.2</v>
      </c>
      <c r="M115" s="6" t="n">
        <v>847.2</v>
      </c>
      <c r="N115" s="6" t="n">
        <v>852</v>
      </c>
      <c r="O115" s="6" t="n">
        <v>852</v>
      </c>
      <c r="P115" s="6" t="n">
        <v>852</v>
      </c>
      <c r="Q115" s="6" t="n">
        <v>852</v>
      </c>
      <c r="R115" s="2"/>
    </row>
    <row r="116" customFormat="false" ht="15" hidden="false" customHeight="false" outlineLevel="0" collapsed="false">
      <c r="A116" s="2"/>
      <c r="B116" s="2"/>
      <c r="C116" s="9" t="s">
        <v>44</v>
      </c>
      <c r="D116" s="6" t="n">
        <v>0</v>
      </c>
      <c r="E116" s="6" t="n">
        <v>0</v>
      </c>
      <c r="F116" s="6" t="n">
        <v>46.2</v>
      </c>
      <c r="G116" s="6" t="n">
        <v>116.4</v>
      </c>
      <c r="H116" s="6" t="n">
        <v>225.7</v>
      </c>
      <c r="I116" s="6" t="n">
        <v>231.5</v>
      </c>
      <c r="J116" s="6" t="n">
        <v>307.4</v>
      </c>
      <c r="K116" s="6" t="n">
        <v>342.4</v>
      </c>
      <c r="L116" s="6" t="n">
        <v>443.4</v>
      </c>
      <c r="M116" s="6" t="n">
        <v>444.9</v>
      </c>
      <c r="N116" s="6" t="n">
        <v>515.3</v>
      </c>
      <c r="O116" s="6" t="n">
        <v>585.8</v>
      </c>
      <c r="P116" s="6" t="n">
        <v>661.6</v>
      </c>
      <c r="Q116" s="6" t="n">
        <v>743.5</v>
      </c>
      <c r="R116" s="10" t="n">
        <f aca="false">IF(Q115=0,"",Q116/Q115)</f>
        <v>0.872652582159624</v>
      </c>
    </row>
    <row r="117" customFormat="false" ht="15" hidden="false" customHeight="false" outlineLevel="0" collapsed="false">
      <c r="A117" s="2"/>
      <c r="B117" s="2"/>
      <c r="C117" s="9" t="s">
        <v>45</v>
      </c>
      <c r="D117" s="6" t="n">
        <v>836.6</v>
      </c>
      <c r="E117" s="6" t="n">
        <v>836.6</v>
      </c>
      <c r="F117" s="6" t="n">
        <v>801</v>
      </c>
      <c r="G117" s="6" t="n">
        <v>730.7</v>
      </c>
      <c r="H117" s="6" t="n">
        <v>621.5</v>
      </c>
      <c r="I117" s="6" t="n">
        <v>615.7</v>
      </c>
      <c r="J117" s="6" t="n">
        <v>539.8</v>
      </c>
      <c r="K117" s="6" t="n">
        <v>504.8</v>
      </c>
      <c r="L117" s="6" t="n">
        <v>403.7</v>
      </c>
      <c r="M117" s="6" t="n">
        <v>402.3</v>
      </c>
      <c r="N117" s="6" t="n">
        <v>336.7</v>
      </c>
      <c r="O117" s="6" t="n">
        <v>266.2</v>
      </c>
      <c r="P117" s="6" t="n">
        <v>190.4</v>
      </c>
      <c r="Q117" s="6" t="n">
        <v>108.5</v>
      </c>
      <c r="R117" s="2"/>
    </row>
    <row r="118" customFormat="false" ht="15" hidden="false" customHeight="false" outlineLevel="0" collapsed="false">
      <c r="A118" s="4" t="s">
        <v>84</v>
      </c>
      <c r="B118" s="9" t="s">
        <v>60</v>
      </c>
      <c r="C118" s="9" t="s">
        <v>43</v>
      </c>
      <c r="D118" s="6" t="n">
        <v>238.3</v>
      </c>
      <c r="E118" s="6" t="n">
        <v>238.3</v>
      </c>
      <c r="F118" s="6" t="n">
        <v>238.3</v>
      </c>
      <c r="G118" s="6" t="n">
        <v>238.3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 customFormat="false" ht="15" hidden="false" customHeight="false" outlineLevel="0" collapsed="false">
      <c r="A119" s="2"/>
      <c r="B119" s="2"/>
      <c r="C119" s="9" t="s">
        <v>44</v>
      </c>
      <c r="D119" s="6" t="n">
        <v>158.8</v>
      </c>
      <c r="E119" s="6" t="n">
        <v>178.7</v>
      </c>
      <c r="F119" s="6" t="n">
        <v>208.4</v>
      </c>
      <c r="G119" s="6" t="n">
        <v>227.3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10" t="str">
        <f aca="false">IF(Q118=0,"",Q119/Q118)</f>
        <v/>
      </c>
    </row>
    <row r="120" customFormat="false" ht="15" hidden="false" customHeight="false" outlineLevel="0" collapsed="false">
      <c r="A120" s="2"/>
      <c r="B120" s="2"/>
      <c r="C120" s="9" t="s">
        <v>45</v>
      </c>
      <c r="D120" s="6" t="n">
        <v>79.4</v>
      </c>
      <c r="E120" s="6" t="n">
        <v>59.6</v>
      </c>
      <c r="F120" s="6" t="n">
        <v>29.9</v>
      </c>
      <c r="G120" s="6" t="n">
        <v>10.9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 customFormat="false" ht="15" hidden="false" customHeight="false" outlineLevel="0" collapsed="false">
      <c r="A121" s="4" t="s">
        <v>85</v>
      </c>
      <c r="B121" s="9" t="s">
        <v>60</v>
      </c>
      <c r="C121" s="9" t="s">
        <v>43</v>
      </c>
      <c r="D121" s="2"/>
      <c r="E121" s="2"/>
      <c r="F121" s="6" t="n">
        <v>182</v>
      </c>
      <c r="G121" s="6" t="n">
        <v>182</v>
      </c>
      <c r="H121" s="6" t="n">
        <v>182</v>
      </c>
      <c r="I121" s="6" t="n">
        <v>182</v>
      </c>
      <c r="J121" s="6" t="n">
        <v>182</v>
      </c>
      <c r="K121" s="6" t="n">
        <v>182</v>
      </c>
      <c r="L121" s="6" t="n">
        <v>182</v>
      </c>
      <c r="M121" s="6" t="n">
        <v>182</v>
      </c>
      <c r="N121" s="6" t="n">
        <v>182</v>
      </c>
      <c r="O121" s="6" t="n">
        <v>182</v>
      </c>
      <c r="P121" s="6" t="n">
        <v>182</v>
      </c>
      <c r="Q121" s="6" t="n">
        <v>182</v>
      </c>
      <c r="R121" s="2"/>
    </row>
    <row r="122" customFormat="false" ht="15" hidden="false" customHeight="false" outlineLevel="0" collapsed="false">
      <c r="A122" s="2"/>
      <c r="B122" s="2"/>
      <c r="C122" s="9" t="s">
        <v>44</v>
      </c>
      <c r="D122" s="2"/>
      <c r="E122" s="2"/>
      <c r="F122" s="6" t="n">
        <v>0.5</v>
      </c>
      <c r="G122" s="6" t="n">
        <v>0.6</v>
      </c>
      <c r="H122" s="6" t="n">
        <v>5.4</v>
      </c>
      <c r="I122" s="6" t="n">
        <v>23</v>
      </c>
      <c r="J122" s="6" t="n">
        <v>35.2</v>
      </c>
      <c r="K122" s="6" t="n">
        <v>58.7</v>
      </c>
      <c r="L122" s="6" t="n">
        <v>58.7</v>
      </c>
      <c r="M122" s="6" t="n">
        <v>76.3</v>
      </c>
      <c r="N122" s="6" t="n">
        <v>93.9</v>
      </c>
      <c r="O122" s="6" t="n">
        <v>105.7</v>
      </c>
      <c r="P122" s="6" t="n">
        <v>111.6</v>
      </c>
      <c r="Q122" s="6" t="n">
        <v>152.7</v>
      </c>
      <c r="R122" s="10" t="n">
        <f aca="false">IF(Q121=0,"",Q122/Q121)</f>
        <v>0.839010989010989</v>
      </c>
    </row>
    <row r="123" customFormat="false" ht="15" hidden="false" customHeight="false" outlineLevel="0" collapsed="false">
      <c r="A123" s="2"/>
      <c r="B123" s="2"/>
      <c r="C123" s="9" t="s">
        <v>45</v>
      </c>
      <c r="D123" s="2"/>
      <c r="E123" s="2"/>
      <c r="F123" s="6" t="n">
        <v>181.6</v>
      </c>
      <c r="G123" s="6" t="n">
        <v>181.4</v>
      </c>
      <c r="H123" s="6" t="n">
        <v>176.6</v>
      </c>
      <c r="I123" s="6" t="n">
        <v>159</v>
      </c>
      <c r="J123" s="6" t="n">
        <v>146.8</v>
      </c>
      <c r="K123" s="6" t="n">
        <v>123.3</v>
      </c>
      <c r="L123" s="6" t="n">
        <v>123.3</v>
      </c>
      <c r="M123" s="6" t="n">
        <v>105.7</v>
      </c>
      <c r="N123" s="6" t="n">
        <v>88.1</v>
      </c>
      <c r="O123" s="6" t="n">
        <v>76.3</v>
      </c>
      <c r="P123" s="6" t="n">
        <v>70.5</v>
      </c>
      <c r="Q123" s="6" t="n">
        <v>29.4</v>
      </c>
      <c r="R123" s="2"/>
    </row>
    <row r="124" customFormat="false" ht="15" hidden="false" customHeight="false" outlineLevel="0" collapsed="false">
      <c r="A124" s="4" t="s">
        <v>86</v>
      </c>
      <c r="B124" s="9" t="s">
        <v>42</v>
      </c>
      <c r="C124" s="9" t="s">
        <v>43</v>
      </c>
      <c r="D124" s="6" t="n">
        <v>14876.3</v>
      </c>
      <c r="E124" s="6" t="n">
        <v>15476.5</v>
      </c>
      <c r="F124" s="6" t="n">
        <v>18258.3</v>
      </c>
      <c r="G124" s="6" t="n">
        <v>17481.8</v>
      </c>
      <c r="H124" s="6" t="n">
        <v>22841.6</v>
      </c>
      <c r="I124" s="6" t="n">
        <v>23241.4</v>
      </c>
      <c r="J124" s="6" t="n">
        <v>25057.2</v>
      </c>
      <c r="K124" s="6" t="n">
        <v>25332.8</v>
      </c>
      <c r="L124" s="6" t="n">
        <v>26722.5</v>
      </c>
      <c r="M124" s="6" t="n">
        <v>26512.8</v>
      </c>
      <c r="N124" s="6" t="n">
        <v>27661.1</v>
      </c>
      <c r="O124" s="6" t="n">
        <v>28430.3</v>
      </c>
      <c r="P124" s="6" t="n">
        <v>35022.3</v>
      </c>
      <c r="Q124" s="6" t="n">
        <v>36169</v>
      </c>
      <c r="R124" s="2"/>
    </row>
    <row r="125" customFormat="false" ht="15" hidden="false" customHeight="false" outlineLevel="0" collapsed="false">
      <c r="A125" s="2"/>
      <c r="B125" s="2"/>
      <c r="C125" s="9" t="s">
        <v>44</v>
      </c>
      <c r="D125" s="6" t="n">
        <v>1752.8</v>
      </c>
      <c r="E125" s="6" t="n">
        <v>2305</v>
      </c>
      <c r="F125" s="6" t="n">
        <v>5373.3</v>
      </c>
      <c r="G125" s="6" t="n">
        <v>3932.6</v>
      </c>
      <c r="H125" s="6" t="n">
        <v>4714.5</v>
      </c>
      <c r="I125" s="6" t="n">
        <v>3281.3</v>
      </c>
      <c r="J125" s="6" t="n">
        <v>4749.3</v>
      </c>
      <c r="K125" s="6" t="n">
        <v>6247.4</v>
      </c>
      <c r="L125" s="6" t="n">
        <v>6903.9</v>
      </c>
      <c r="M125" s="6" t="n">
        <v>7172.2</v>
      </c>
      <c r="N125" s="6" t="n">
        <v>7691.2</v>
      </c>
      <c r="O125" s="6" t="n">
        <v>9350.5</v>
      </c>
      <c r="P125" s="6" t="n">
        <v>10744.2</v>
      </c>
      <c r="Q125" s="6" t="n">
        <v>13029.9</v>
      </c>
      <c r="R125" s="10" t="n">
        <f aca="false">IF(Q124=0,"",Q125/Q124)</f>
        <v>0.360250490751749</v>
      </c>
    </row>
    <row r="126" customFormat="false" ht="15" hidden="false" customHeight="false" outlineLevel="0" collapsed="false">
      <c r="A126" s="2"/>
      <c r="B126" s="2"/>
      <c r="C126" s="9" t="s">
        <v>45</v>
      </c>
      <c r="D126" s="6" t="n">
        <v>13123.5</v>
      </c>
      <c r="E126" s="6" t="n">
        <v>13171.5</v>
      </c>
      <c r="F126" s="6" t="n">
        <v>12885</v>
      </c>
      <c r="G126" s="6" t="n">
        <v>13549.3</v>
      </c>
      <c r="H126" s="6" t="n">
        <v>18127.1</v>
      </c>
      <c r="I126" s="6" t="n">
        <v>19960.1</v>
      </c>
      <c r="J126" s="6" t="n">
        <v>20307.9</v>
      </c>
      <c r="K126" s="6" t="n">
        <v>19085.4</v>
      </c>
      <c r="L126" s="6" t="n">
        <v>19818.6</v>
      </c>
      <c r="M126" s="6" t="n">
        <v>19340.6</v>
      </c>
      <c r="N126" s="6" t="n">
        <v>19969.8</v>
      </c>
      <c r="O126" s="6" t="n">
        <v>19079.8</v>
      </c>
      <c r="P126" s="6" t="n">
        <v>24278.1</v>
      </c>
      <c r="Q126" s="6" t="n">
        <v>23139.1</v>
      </c>
      <c r="R12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16" min="3" style="0" width="9"/>
  </cols>
  <sheetData>
    <row r="1" customFormat="false" ht="15" hidden="false" customHeight="false" outlineLevel="0" collapsed="false">
      <c r="A1" s="1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4" t="s">
        <v>36</v>
      </c>
      <c r="B3" s="4" t="s">
        <v>37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13" t="s">
        <v>88</v>
      </c>
    </row>
    <row r="4" customFormat="false" ht="15" hidden="false" customHeight="false" outlineLevel="0" collapsed="false">
      <c r="A4" s="2" t="s">
        <v>89</v>
      </c>
      <c r="B4" s="9" t="s">
        <v>42</v>
      </c>
      <c r="C4" s="6" t="n">
        <v>50.4</v>
      </c>
      <c r="D4" s="6" t="n">
        <v>-25.3</v>
      </c>
      <c r="E4" s="6" t="n">
        <v>0.7</v>
      </c>
      <c r="F4" s="2"/>
      <c r="G4" s="2"/>
      <c r="H4" s="2"/>
      <c r="I4" s="2"/>
      <c r="J4" s="2"/>
      <c r="K4" s="2"/>
      <c r="L4" s="2"/>
      <c r="M4" s="2"/>
      <c r="N4" s="2"/>
      <c r="O4" s="2"/>
      <c r="P4" s="8" t="n">
        <f aca="false">SUM(C4:O4)</f>
        <v>25.8</v>
      </c>
    </row>
    <row r="5" customFormat="false" ht="15" hidden="false" customHeight="false" outlineLevel="0" collapsed="false">
      <c r="A5" s="9" t="s">
        <v>46</v>
      </c>
      <c r="B5" s="9" t="s">
        <v>42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6" t="n">
        <v>0</v>
      </c>
      <c r="P5" s="8" t="n">
        <f aca="false">SUM(C5:O5)</f>
        <v>0</v>
      </c>
    </row>
    <row r="6" customFormat="false" ht="15" hidden="false" customHeight="false" outlineLevel="0" collapsed="false">
      <c r="A6" s="9" t="s">
        <v>90</v>
      </c>
      <c r="B6" s="9" t="s">
        <v>42</v>
      </c>
      <c r="C6" s="2"/>
      <c r="D6" s="2"/>
      <c r="E6" s="2"/>
      <c r="F6" s="2"/>
      <c r="G6" s="2"/>
      <c r="H6" s="2"/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8" t="n">
        <f aca="false">SUM(C6:O6)</f>
        <v>0</v>
      </c>
    </row>
    <row r="7" customFormat="false" ht="15" hidden="false" customHeight="false" outlineLevel="0" collapsed="false">
      <c r="A7" s="9" t="s">
        <v>91</v>
      </c>
      <c r="B7" s="9" t="s">
        <v>42</v>
      </c>
      <c r="C7" s="2"/>
      <c r="D7" s="2"/>
      <c r="E7" s="2"/>
      <c r="F7" s="2"/>
      <c r="G7" s="2"/>
      <c r="H7" s="2"/>
      <c r="I7" s="2"/>
      <c r="J7" s="2"/>
      <c r="K7" s="2"/>
      <c r="L7" s="2"/>
      <c r="M7" s="6" t="n">
        <v>0</v>
      </c>
      <c r="N7" s="6" t="n">
        <v>0</v>
      </c>
      <c r="O7" s="6" t="n">
        <v>0</v>
      </c>
      <c r="P7" s="8" t="n">
        <f aca="false">SUM(C7:O7)</f>
        <v>0</v>
      </c>
    </row>
    <row r="8" customFormat="false" ht="15" hidden="false" customHeight="false" outlineLevel="0" collapsed="false">
      <c r="A8" s="9" t="s">
        <v>92</v>
      </c>
      <c r="B8" s="9" t="s">
        <v>42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6" t="n">
        <v>0</v>
      </c>
      <c r="O8" s="6" t="n">
        <v>0</v>
      </c>
      <c r="P8" s="8" t="n">
        <f aca="false">SUM(C8:O8)</f>
        <v>0</v>
      </c>
    </row>
    <row r="9" customFormat="false" ht="15" hidden="false" customHeight="false" outlineLevel="0" collapsed="false">
      <c r="A9" s="9" t="s">
        <v>93</v>
      </c>
      <c r="B9" s="9" t="s">
        <v>42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6" t="n">
        <v>0</v>
      </c>
      <c r="P9" s="8" t="n">
        <f aca="false">SUM(C9:O9)</f>
        <v>0</v>
      </c>
    </row>
    <row r="10" customFormat="false" ht="15" hidden="false" customHeight="false" outlineLevel="0" collapsed="false">
      <c r="A10" s="9" t="s">
        <v>94</v>
      </c>
      <c r="B10" s="9" t="s">
        <v>42</v>
      </c>
      <c r="C10" s="6" t="n">
        <v>0</v>
      </c>
      <c r="D10" s="6" t="n">
        <v>78.1</v>
      </c>
      <c r="E10" s="6" t="n">
        <v>-0.3</v>
      </c>
      <c r="F10" s="6" t="n">
        <v>32.8</v>
      </c>
      <c r="G10" s="6" t="n">
        <v>2</v>
      </c>
      <c r="H10" s="6" t="n">
        <v>2.6</v>
      </c>
      <c r="I10" s="6" t="n">
        <v>0</v>
      </c>
      <c r="J10" s="6" t="n">
        <v>-7</v>
      </c>
      <c r="K10" s="6" t="n">
        <v>14.8</v>
      </c>
      <c r="L10" s="6" t="n">
        <v>0.3</v>
      </c>
      <c r="M10" s="6" t="n">
        <v>33.6</v>
      </c>
      <c r="N10" s="6" t="n">
        <v>6.2</v>
      </c>
      <c r="O10" s="6" t="n">
        <v>7.3</v>
      </c>
      <c r="P10" s="8" t="n">
        <f aca="false">SUM(C10:O10)</f>
        <v>170.4</v>
      </c>
    </row>
    <row r="11" customFormat="false" ht="15" hidden="false" customHeight="false" outlineLevel="0" collapsed="false">
      <c r="A11" s="9" t="s">
        <v>95</v>
      </c>
      <c r="B11" s="9" t="s">
        <v>42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6" t="n">
        <v>0</v>
      </c>
      <c r="N11" s="6" t="n">
        <v>91.7</v>
      </c>
      <c r="O11" s="6" t="n">
        <v>6.8</v>
      </c>
      <c r="P11" s="8" t="n">
        <f aca="false">SUM(C11:O11)</f>
        <v>98.5</v>
      </c>
    </row>
    <row r="12" customFormat="false" ht="15" hidden="false" customHeight="false" outlineLevel="0" collapsed="false">
      <c r="A12" s="9" t="s">
        <v>96</v>
      </c>
      <c r="B12" s="9" t="s">
        <v>42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182.8</v>
      </c>
      <c r="K12" s="6" t="n">
        <v>18.7</v>
      </c>
      <c r="L12" s="6" t="n">
        <v>108.3</v>
      </c>
      <c r="M12" s="6" t="n">
        <v>152.2</v>
      </c>
      <c r="N12" s="6" t="n">
        <v>100.8</v>
      </c>
      <c r="O12" s="6" t="n">
        <v>527.7</v>
      </c>
      <c r="P12" s="8" t="n">
        <f aca="false">SUM(C12:O12)</f>
        <v>1090.5</v>
      </c>
    </row>
    <row r="13" customFormat="false" ht="15" hidden="false" customHeight="false" outlineLevel="0" collapsed="false">
      <c r="A13" s="9" t="s">
        <v>97</v>
      </c>
      <c r="B13" s="9" t="s">
        <v>42</v>
      </c>
      <c r="C13" s="2"/>
      <c r="D13" s="2"/>
      <c r="E13" s="2"/>
      <c r="F13" s="2"/>
      <c r="G13" s="2"/>
      <c r="H13" s="2"/>
      <c r="I13" s="2"/>
      <c r="J13" s="2"/>
      <c r="K13" s="2"/>
      <c r="L13" s="6" t="n">
        <v>0</v>
      </c>
      <c r="M13" s="6" t="n">
        <v>0</v>
      </c>
      <c r="N13" s="6" t="n">
        <v>0</v>
      </c>
      <c r="O13" s="6" t="n">
        <v>0</v>
      </c>
      <c r="P13" s="8" t="n">
        <f aca="false">SUM(C13:O13)</f>
        <v>0</v>
      </c>
    </row>
    <row r="14" customFormat="false" ht="15" hidden="false" customHeight="false" outlineLevel="0" collapsed="false">
      <c r="A14" s="9" t="s">
        <v>98</v>
      </c>
      <c r="B14" s="9" t="s">
        <v>42</v>
      </c>
      <c r="C14" s="6" t="n">
        <v>0.3</v>
      </c>
      <c r="D14" s="6" t="n">
        <v>51.7</v>
      </c>
      <c r="E14" s="6" t="n">
        <v>9.7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8" t="n">
        <f aca="false">SUM(C14:O14)</f>
        <v>61.7</v>
      </c>
    </row>
    <row r="15" customFormat="false" ht="15" hidden="false" customHeight="false" outlineLevel="0" collapsed="false">
      <c r="A15" s="9" t="s">
        <v>99</v>
      </c>
      <c r="B15" s="9" t="s">
        <v>42</v>
      </c>
      <c r="C15" s="6" t="n">
        <v>0</v>
      </c>
      <c r="D15" s="6" t="n">
        <v>-33</v>
      </c>
      <c r="E15" s="6" t="n">
        <v>-0.4</v>
      </c>
      <c r="F15" s="6" t="n">
        <v>31.3</v>
      </c>
      <c r="G15" s="6" t="n">
        <v>2.8</v>
      </c>
      <c r="H15" s="6" t="n">
        <v>3.6</v>
      </c>
      <c r="I15" s="6" t="n">
        <v>16.1</v>
      </c>
      <c r="J15" s="6" t="n">
        <v>38.9</v>
      </c>
      <c r="K15" s="6" t="n">
        <v>29</v>
      </c>
      <c r="L15" s="6" t="n">
        <v>0.6</v>
      </c>
      <c r="M15" s="6" t="n">
        <v>8</v>
      </c>
      <c r="N15" s="2"/>
      <c r="O15" s="2"/>
      <c r="P15" s="8" t="n">
        <f aca="false">SUM(C15:O15)</f>
        <v>96.9</v>
      </c>
    </row>
    <row r="16" customFormat="false" ht="15" hidden="false" customHeight="false" outlineLevel="0" collapsed="false">
      <c r="A16" s="9" t="s">
        <v>100</v>
      </c>
      <c r="B16" s="9" t="s">
        <v>42</v>
      </c>
      <c r="C16" s="6" t="n">
        <v>-4.6</v>
      </c>
      <c r="D16" s="6" t="n">
        <v>28.8</v>
      </c>
      <c r="E16" s="6" t="n">
        <v>16.9</v>
      </c>
      <c r="F16" s="6" t="n">
        <v>25.1</v>
      </c>
      <c r="G16" s="6" t="n">
        <v>7.1</v>
      </c>
      <c r="H16" s="6" t="n">
        <v>30.1</v>
      </c>
      <c r="I16" s="6" t="n">
        <v>12.6</v>
      </c>
      <c r="J16" s="6" t="n">
        <v>35.9</v>
      </c>
      <c r="K16" s="6" t="n">
        <v>15</v>
      </c>
      <c r="L16" s="6" t="n">
        <v>11.3</v>
      </c>
      <c r="M16" s="6" t="n">
        <v>17.6</v>
      </c>
      <c r="N16" s="6" t="n">
        <v>52.5</v>
      </c>
      <c r="O16" s="6" t="n">
        <v>50.1</v>
      </c>
      <c r="P16" s="8" t="n">
        <f aca="false">SUM(C16:O16)</f>
        <v>298.4</v>
      </c>
    </row>
    <row r="17" customFormat="false" ht="15" hidden="false" customHeight="false" outlineLevel="0" collapsed="false">
      <c r="A17" s="9" t="s">
        <v>101</v>
      </c>
      <c r="B17" s="9" t="s">
        <v>42</v>
      </c>
      <c r="C17" s="2"/>
      <c r="D17" s="2"/>
      <c r="E17" s="2"/>
      <c r="F17" s="6" t="n">
        <v>0</v>
      </c>
      <c r="G17" s="6" t="n">
        <v>3.4</v>
      </c>
      <c r="H17" s="6" t="n">
        <v>6.9</v>
      </c>
      <c r="I17" s="6" t="n">
        <v>71.3</v>
      </c>
      <c r="J17" s="6" t="n">
        <v>95</v>
      </c>
      <c r="K17" s="6" t="n">
        <v>43.4</v>
      </c>
      <c r="L17" s="6" t="n">
        <v>58.4</v>
      </c>
      <c r="M17" s="6" t="n">
        <v>89.2</v>
      </c>
      <c r="N17" s="6" t="n">
        <v>130.2</v>
      </c>
      <c r="O17" s="6" t="n">
        <v>151.1</v>
      </c>
      <c r="P17" s="8" t="n">
        <f aca="false">SUM(C17:O17)</f>
        <v>648.9</v>
      </c>
    </row>
    <row r="18" customFormat="false" ht="15" hidden="false" customHeight="false" outlineLevel="0" collapsed="false">
      <c r="A18" s="2" t="s">
        <v>102</v>
      </c>
      <c r="B18" s="9" t="s">
        <v>60</v>
      </c>
      <c r="C18" s="6" t="n">
        <v>0</v>
      </c>
      <c r="D18" s="6" t="n">
        <v>0</v>
      </c>
      <c r="E18" s="6" t="n">
        <v>2.4</v>
      </c>
      <c r="F18" s="6" t="n">
        <v>17.1</v>
      </c>
      <c r="G18" s="6" t="n">
        <v>0</v>
      </c>
      <c r="H18" s="6" t="n">
        <v>1.2</v>
      </c>
      <c r="I18" s="6" t="n">
        <v>14.5</v>
      </c>
      <c r="J18" s="6" t="n">
        <v>16</v>
      </c>
      <c r="K18" s="6" t="n">
        <v>0</v>
      </c>
      <c r="L18" s="6" t="n">
        <v>4.8</v>
      </c>
      <c r="M18" s="6" t="n">
        <v>9.8</v>
      </c>
      <c r="N18" s="6" t="n">
        <v>10.4</v>
      </c>
      <c r="O18" s="6" t="n">
        <v>0</v>
      </c>
      <c r="P18" s="8" t="n">
        <f aca="false">SUM(C18:O18)</f>
        <v>76.2</v>
      </c>
    </row>
    <row r="19" customFormat="false" ht="15" hidden="false" customHeight="false" outlineLevel="0" collapsed="false">
      <c r="A19" s="2" t="s">
        <v>103</v>
      </c>
      <c r="B19" s="9" t="s">
        <v>60</v>
      </c>
      <c r="C19" s="6" t="n">
        <v>0</v>
      </c>
      <c r="D19" s="6" t="n">
        <v>0</v>
      </c>
      <c r="E19" s="6" t="n">
        <v>10.8</v>
      </c>
      <c r="F19" s="6" t="n">
        <v>110.9</v>
      </c>
      <c r="G19" s="6" t="n">
        <v>0</v>
      </c>
      <c r="H19" s="6" t="n">
        <v>1.8</v>
      </c>
      <c r="I19" s="6" t="n">
        <v>115.3</v>
      </c>
      <c r="J19" s="6" t="n">
        <v>105.8</v>
      </c>
      <c r="K19" s="6" t="n">
        <v>-5.5</v>
      </c>
      <c r="L19" s="6" t="n">
        <v>39.5</v>
      </c>
      <c r="M19" s="6" t="n">
        <v>55.9</v>
      </c>
      <c r="N19" s="6" t="n">
        <v>72.2</v>
      </c>
      <c r="O19" s="6" t="n">
        <v>0</v>
      </c>
      <c r="P19" s="8" t="n">
        <f aca="false">SUM(C19:O19)</f>
        <v>506.7</v>
      </c>
    </row>
    <row r="20" customFormat="false" ht="15" hidden="false" customHeight="false" outlineLevel="0" collapsed="false">
      <c r="A20" s="2" t="s">
        <v>104</v>
      </c>
      <c r="B20" s="9" t="s">
        <v>60</v>
      </c>
      <c r="C20" s="2"/>
      <c r="D20" s="2"/>
      <c r="E20" s="2"/>
      <c r="F20" s="2"/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62</v>
      </c>
      <c r="O20" s="6" t="n">
        <v>127.6</v>
      </c>
      <c r="P20" s="8" t="n">
        <f aca="false">SUM(C20:O20)</f>
        <v>189.6</v>
      </c>
    </row>
    <row r="21" customFormat="false" ht="15" hidden="false" customHeight="false" outlineLevel="0" collapsed="false">
      <c r="A21" s="2" t="s">
        <v>105</v>
      </c>
      <c r="B21" s="9" t="s">
        <v>60</v>
      </c>
      <c r="C21" s="6" t="n">
        <v>6.9</v>
      </c>
      <c r="D21" s="6" t="n">
        <v>19.6</v>
      </c>
      <c r="E21" s="6" t="n">
        <v>9.3</v>
      </c>
      <c r="F21" s="6" t="n">
        <v>19.7</v>
      </c>
      <c r="G21" s="6" t="n">
        <v>7.3</v>
      </c>
      <c r="H21" s="6" t="n">
        <v>-1.4</v>
      </c>
      <c r="I21" s="6" t="n">
        <v>-1.7</v>
      </c>
      <c r="J21" s="2"/>
      <c r="K21" s="2"/>
      <c r="L21" s="2"/>
      <c r="M21" s="2"/>
      <c r="N21" s="2"/>
      <c r="O21" s="2"/>
      <c r="P21" s="8" t="n">
        <f aca="false">SUM(C21:O21)</f>
        <v>59.7</v>
      </c>
    </row>
    <row r="22" customFormat="false" ht="15" hidden="false" customHeight="false" outlineLevel="0" collapsed="false">
      <c r="A22" s="2" t="s">
        <v>106</v>
      </c>
      <c r="B22" s="9" t="s">
        <v>60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6" t="n">
        <v>0</v>
      </c>
      <c r="O22" s="6" t="n">
        <v>0</v>
      </c>
      <c r="P22" s="8" t="n">
        <f aca="false">SUM(C22:O22)</f>
        <v>0</v>
      </c>
    </row>
    <row r="23" customFormat="false" ht="15" hidden="false" customHeight="false" outlineLevel="0" collapsed="false">
      <c r="A23" s="2" t="s">
        <v>107</v>
      </c>
      <c r="B23" s="9" t="s">
        <v>60</v>
      </c>
      <c r="C23" s="6" t="n">
        <v>22.5</v>
      </c>
      <c r="D23" s="6" t="n">
        <v>21.4</v>
      </c>
      <c r="E23" s="6" t="n">
        <v>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8" t="n">
        <f aca="false">SUM(C23:O23)</f>
        <v>43.9</v>
      </c>
    </row>
    <row r="24" customFormat="false" ht="15" hidden="false" customHeight="false" outlineLevel="0" collapsed="false">
      <c r="A24" s="2" t="s">
        <v>108</v>
      </c>
      <c r="B24" s="9" t="s">
        <v>60</v>
      </c>
      <c r="C24" s="6" t="n">
        <v>0</v>
      </c>
      <c r="D24" s="6" t="n">
        <v>26.8</v>
      </c>
      <c r="E24" s="6" t="n">
        <v>1.4</v>
      </c>
      <c r="F24" s="6" t="n">
        <v>18</v>
      </c>
      <c r="G24" s="2"/>
      <c r="H24" s="2"/>
      <c r="I24" s="2"/>
      <c r="J24" s="2"/>
      <c r="K24" s="2"/>
      <c r="L24" s="2"/>
      <c r="M24" s="2"/>
      <c r="N24" s="2"/>
      <c r="O24" s="2"/>
      <c r="P24" s="8" t="n">
        <f aca="false">SUM(C24:O24)</f>
        <v>46.2</v>
      </c>
    </row>
    <row r="25" customFormat="false" ht="15" hidden="false" customHeight="false" outlineLevel="0" collapsed="false">
      <c r="A25" s="2" t="s">
        <v>109</v>
      </c>
      <c r="B25" s="9" t="s">
        <v>60</v>
      </c>
      <c r="C25" s="6" t="n">
        <v>0</v>
      </c>
      <c r="D25" s="6" t="n">
        <v>43.8</v>
      </c>
      <c r="E25" s="6" t="n">
        <v>21.9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8" t="n">
        <f aca="false">SUM(C25:O25)</f>
        <v>65.7</v>
      </c>
    </row>
    <row r="26" customFormat="false" ht="15" hidden="false" customHeight="false" outlineLevel="0" collapsed="false">
      <c r="A26" s="2" t="s">
        <v>110</v>
      </c>
      <c r="B26" s="9" t="s">
        <v>60</v>
      </c>
      <c r="C26" s="2"/>
      <c r="D26" s="2"/>
      <c r="E26" s="2"/>
      <c r="F26" s="6" t="n">
        <v>0</v>
      </c>
      <c r="G26" s="6" t="n">
        <v>0</v>
      </c>
      <c r="H26" s="6" t="n">
        <v>0</v>
      </c>
      <c r="I26" s="6" t="n">
        <v>12.6</v>
      </c>
      <c r="J26" s="6" t="n">
        <v>26.3</v>
      </c>
      <c r="K26" s="6" t="n">
        <v>0</v>
      </c>
      <c r="L26" s="6" t="n">
        <v>25.2</v>
      </c>
      <c r="M26" s="6" t="n">
        <v>29.3</v>
      </c>
      <c r="N26" s="6" t="n">
        <v>33.8</v>
      </c>
      <c r="O26" s="6" t="n">
        <v>25.2</v>
      </c>
      <c r="P26" s="8" t="n">
        <f aca="false">SUM(C26:O26)</f>
        <v>152.4</v>
      </c>
    </row>
    <row r="27" customFormat="false" ht="15" hidden="false" customHeight="false" outlineLevel="0" collapsed="false">
      <c r="A27" s="2" t="s">
        <v>111</v>
      </c>
      <c r="B27" s="9" t="s">
        <v>60</v>
      </c>
      <c r="C27" s="6" t="n">
        <v>7.7</v>
      </c>
      <c r="D27" s="6" t="n">
        <v>3.4</v>
      </c>
      <c r="E27" s="6" t="n">
        <v>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8" t="n">
        <f aca="false">SUM(C27:O27)</f>
        <v>11.1</v>
      </c>
    </row>
    <row r="28" customFormat="false" ht="15" hidden="false" customHeight="false" outlineLevel="0" collapsed="false">
      <c r="A28" s="2" t="s">
        <v>112</v>
      </c>
      <c r="B28" s="9" t="s">
        <v>60</v>
      </c>
      <c r="C28" s="2"/>
      <c r="D28" s="2"/>
      <c r="E28" s="2"/>
      <c r="F28" s="2"/>
      <c r="G28" s="2"/>
      <c r="H28" s="2"/>
      <c r="I28" s="2"/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8" t="n">
        <f aca="false">SUM(C28:O28)</f>
        <v>0</v>
      </c>
    </row>
    <row r="29" customFormat="false" ht="15" hidden="false" customHeight="false" outlineLevel="0" collapsed="false">
      <c r="A29" s="2" t="s">
        <v>113</v>
      </c>
      <c r="B29" s="9" t="s">
        <v>60</v>
      </c>
      <c r="C29" s="6" t="n">
        <v>4.8</v>
      </c>
      <c r="D29" s="6" t="n">
        <v>4.3</v>
      </c>
      <c r="E29" s="6" t="n">
        <v>4.7</v>
      </c>
      <c r="F29" s="6" t="n">
        <v>19.7</v>
      </c>
      <c r="G29" s="6" t="n">
        <v>5.6</v>
      </c>
      <c r="H29" s="6" t="n">
        <v>0.7</v>
      </c>
      <c r="I29" s="6" t="n">
        <v>13</v>
      </c>
      <c r="J29" s="6" t="n">
        <v>11.7</v>
      </c>
      <c r="K29" s="6" t="n">
        <v>17.9</v>
      </c>
      <c r="L29" s="6" t="n">
        <v>7</v>
      </c>
      <c r="M29" s="6" t="n">
        <v>2.8</v>
      </c>
      <c r="N29" s="6" t="n">
        <v>15.8</v>
      </c>
      <c r="O29" s="6" t="n">
        <v>7.8</v>
      </c>
      <c r="P29" s="8" t="n">
        <f aca="false">SUM(C29:O29)</f>
        <v>115.8</v>
      </c>
    </row>
    <row r="30" customFormat="false" ht="15" hidden="false" customHeight="false" outlineLevel="0" collapsed="false">
      <c r="A30" s="2" t="s">
        <v>114</v>
      </c>
      <c r="B30" s="9" t="s">
        <v>60</v>
      </c>
      <c r="C30" s="2"/>
      <c r="D30" s="2"/>
      <c r="E30" s="2"/>
      <c r="F30" s="2"/>
      <c r="G30" s="2"/>
      <c r="H30" s="2"/>
      <c r="I30" s="2"/>
      <c r="J30" s="6" t="n">
        <v>74</v>
      </c>
      <c r="K30" s="6" t="n">
        <v>5.4</v>
      </c>
      <c r="L30" s="6" t="n">
        <v>0</v>
      </c>
      <c r="M30" s="6" t="n">
        <v>0</v>
      </c>
      <c r="N30" s="2"/>
      <c r="O30" s="2"/>
      <c r="P30" s="8" t="n">
        <f aca="false">SUM(C30:O30)</f>
        <v>79.4</v>
      </c>
    </row>
    <row r="31" customFormat="false" ht="15" hidden="false" customHeight="false" outlineLevel="0" collapsed="false">
      <c r="A31" s="2" t="s">
        <v>115</v>
      </c>
      <c r="B31" s="9" t="s">
        <v>60</v>
      </c>
      <c r="C31" s="6" t="n">
        <v>1.3</v>
      </c>
      <c r="D31" s="6" t="n">
        <v>0.8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8" t="n">
        <f aca="false">SUM(C31:O31)</f>
        <v>2.1</v>
      </c>
    </row>
    <row r="32" customFormat="false" ht="15" hidden="false" customHeight="false" outlineLevel="0" collapsed="false">
      <c r="A32" s="2" t="s">
        <v>116</v>
      </c>
      <c r="B32" s="9" t="s">
        <v>60</v>
      </c>
      <c r="C32" s="2"/>
      <c r="D32" s="2"/>
      <c r="E32" s="6" t="n">
        <v>0</v>
      </c>
      <c r="F32" s="6" t="n">
        <v>8.1</v>
      </c>
      <c r="G32" s="6" t="n">
        <v>6.1</v>
      </c>
      <c r="H32" s="6" t="n">
        <v>0.3</v>
      </c>
      <c r="I32" s="6" t="n">
        <v>5.2</v>
      </c>
      <c r="J32" s="6" t="n">
        <v>9.7</v>
      </c>
      <c r="K32" s="6" t="n">
        <v>5.4</v>
      </c>
      <c r="L32" s="6" t="n">
        <v>9.1</v>
      </c>
      <c r="M32" s="6" t="n">
        <v>6.5</v>
      </c>
      <c r="N32" s="6" t="n">
        <v>12</v>
      </c>
      <c r="O32" s="6" t="n">
        <v>15.9</v>
      </c>
      <c r="P32" s="8" t="n">
        <f aca="false">SUM(C32:O32)</f>
        <v>78.3</v>
      </c>
    </row>
    <row r="33" customFormat="false" ht="15" hidden="false" customHeight="false" outlineLevel="0" collapsed="false">
      <c r="A33" s="2" t="s">
        <v>117</v>
      </c>
      <c r="B33" s="9" t="s">
        <v>60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12.3</v>
      </c>
      <c r="J33" s="6" t="n">
        <v>4.1</v>
      </c>
      <c r="K33" s="6" t="n">
        <v>6.1</v>
      </c>
      <c r="L33" s="6" t="n">
        <v>24.6</v>
      </c>
      <c r="M33" s="6" t="n">
        <v>6.1</v>
      </c>
      <c r="N33" s="2"/>
      <c r="O33" s="2"/>
      <c r="P33" s="8" t="n">
        <f aca="false">SUM(C33:O33)</f>
        <v>53.2</v>
      </c>
    </row>
    <row r="34" customFormat="false" ht="15" hidden="false" customHeight="false" outlineLevel="0" collapsed="false">
      <c r="A34" s="2" t="s">
        <v>118</v>
      </c>
      <c r="B34" s="9" t="s">
        <v>60</v>
      </c>
      <c r="C34" s="6" t="n">
        <v>-0.6</v>
      </c>
      <c r="D34" s="6" t="n">
        <v>21.3</v>
      </c>
      <c r="E34" s="6" t="n">
        <v>9.8</v>
      </c>
      <c r="F34" s="6" t="n">
        <v>-4.4</v>
      </c>
      <c r="G34" s="6" t="n">
        <v>0</v>
      </c>
      <c r="H34" s="6" t="n">
        <v>5.1</v>
      </c>
      <c r="I34" s="6" t="n">
        <v>8.2</v>
      </c>
      <c r="J34" s="2"/>
      <c r="K34" s="2"/>
      <c r="L34" s="2"/>
      <c r="M34" s="2"/>
      <c r="N34" s="2"/>
      <c r="O34" s="2"/>
      <c r="P34" s="8" t="n">
        <f aca="false">SUM(C34:O34)</f>
        <v>39.4</v>
      </c>
    </row>
    <row r="35" customFormat="false" ht="15" hidden="false" customHeight="false" outlineLevel="0" collapsed="false">
      <c r="A35" s="2" t="s">
        <v>119</v>
      </c>
      <c r="B35" s="9" t="s">
        <v>60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6" t="n">
        <v>0</v>
      </c>
      <c r="O35" s="6" t="n">
        <v>0</v>
      </c>
      <c r="P35" s="8" t="n">
        <f aca="false">SUM(C35:O35)</f>
        <v>0</v>
      </c>
    </row>
    <row r="36" customFormat="false" ht="15" hidden="false" customHeight="false" outlineLevel="0" collapsed="false">
      <c r="A36" s="2" t="s">
        <v>120</v>
      </c>
      <c r="B36" s="9" t="s">
        <v>60</v>
      </c>
      <c r="C36" s="2"/>
      <c r="D36" s="2"/>
      <c r="E36" s="2"/>
      <c r="F36" s="2"/>
      <c r="G36" s="2"/>
      <c r="H36" s="2"/>
      <c r="I36" s="2"/>
      <c r="J36" s="6" t="n">
        <v>0</v>
      </c>
      <c r="K36" s="6" t="n">
        <v>0</v>
      </c>
      <c r="L36" s="6" t="n">
        <v>0.1</v>
      </c>
      <c r="M36" s="6" t="n">
        <v>0</v>
      </c>
      <c r="N36" s="6" t="n">
        <v>0.1</v>
      </c>
      <c r="O36" s="6" t="n">
        <v>0.1</v>
      </c>
      <c r="P36" s="8" t="n">
        <f aca="false">SUM(C36:O36)</f>
        <v>0.3</v>
      </c>
    </row>
    <row r="37" customFormat="false" ht="15" hidden="false" customHeight="false" outlineLevel="0" collapsed="false">
      <c r="A37" s="9" t="s">
        <v>79</v>
      </c>
      <c r="B37" s="9" t="s">
        <v>60</v>
      </c>
      <c r="C37" s="6" t="n">
        <v>9.3</v>
      </c>
      <c r="D37" s="6" t="n">
        <v>9.2</v>
      </c>
      <c r="E37" s="6" t="n">
        <v>9.5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8" t="n">
        <f aca="false">SUM(C37:O37)</f>
        <v>28</v>
      </c>
    </row>
    <row r="38" customFormat="false" ht="15" hidden="false" customHeight="false" outlineLevel="0" collapsed="false">
      <c r="A38" s="9" t="s">
        <v>80</v>
      </c>
      <c r="B38" s="9" t="s">
        <v>60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78.4</v>
      </c>
      <c r="I38" s="6" t="n">
        <v>0</v>
      </c>
      <c r="J38" s="6" t="n">
        <v>16.1</v>
      </c>
      <c r="K38" s="6" t="n">
        <v>1.3</v>
      </c>
      <c r="L38" s="6" t="n">
        <v>0.3</v>
      </c>
      <c r="M38" s="6" t="n">
        <v>71</v>
      </c>
      <c r="N38" s="6" t="n">
        <v>91</v>
      </c>
      <c r="O38" s="6" t="n">
        <v>27.5</v>
      </c>
      <c r="P38" s="8" t="n">
        <f aca="false">SUM(C38:O38)</f>
        <v>285.6</v>
      </c>
    </row>
    <row r="39" customFormat="false" ht="15" hidden="false" customHeight="false" outlineLevel="0" collapsed="false">
      <c r="A39" s="9" t="s">
        <v>81</v>
      </c>
      <c r="B39" s="9" t="s">
        <v>60</v>
      </c>
      <c r="C39" s="6" t="n">
        <v>28.8</v>
      </c>
      <c r="D39" s="6" t="n">
        <v>8.2</v>
      </c>
      <c r="E39" s="6" t="n">
        <v>10.6</v>
      </c>
      <c r="F39" s="6" t="n">
        <v>8.6</v>
      </c>
      <c r="G39" s="6" t="n">
        <v>26.9</v>
      </c>
      <c r="H39" s="6" t="n">
        <v>24.2</v>
      </c>
      <c r="I39" s="6" t="n">
        <v>4.5</v>
      </c>
      <c r="J39" s="6" t="n">
        <v>10.5</v>
      </c>
      <c r="K39" s="6" t="n">
        <v>23</v>
      </c>
      <c r="L39" s="6" t="n">
        <v>12.9</v>
      </c>
      <c r="M39" s="2"/>
      <c r="N39" s="6" t="n">
        <v>255.6</v>
      </c>
      <c r="O39" s="2"/>
      <c r="P39" s="8" t="n">
        <f aca="false">SUM(C39:O39)</f>
        <v>413.8</v>
      </c>
    </row>
    <row r="40" customFormat="false" ht="15" hidden="false" customHeight="false" outlineLevel="0" collapsed="false">
      <c r="A40" s="9" t="s">
        <v>82</v>
      </c>
      <c r="B40" s="9" t="s">
        <v>60</v>
      </c>
      <c r="C40" s="6" t="n">
        <v>0.1</v>
      </c>
      <c r="D40" s="6" t="n">
        <v>0.5</v>
      </c>
      <c r="E40" s="6" t="n">
        <v>54.3</v>
      </c>
      <c r="F40" s="6" t="n">
        <v>157</v>
      </c>
      <c r="G40" s="6" t="n">
        <v>0</v>
      </c>
      <c r="H40" s="6" t="n">
        <v>0</v>
      </c>
      <c r="I40" s="6" t="n">
        <v>77.9</v>
      </c>
      <c r="J40" s="6" t="n">
        <v>114.7</v>
      </c>
      <c r="K40" s="6" t="n">
        <v>0</v>
      </c>
      <c r="L40" s="6" t="n">
        <v>1.3</v>
      </c>
      <c r="M40" s="6" t="n">
        <v>76.6</v>
      </c>
      <c r="N40" s="6" t="n">
        <v>103.2</v>
      </c>
      <c r="O40" s="6" t="n">
        <v>-46.9</v>
      </c>
      <c r="P40" s="8" t="n">
        <f aca="false">SUM(C40:O40)</f>
        <v>538.7</v>
      </c>
    </row>
    <row r="41" customFormat="false" ht="15" hidden="false" customHeight="false" outlineLevel="0" collapsed="false">
      <c r="A41" s="9" t="s">
        <v>121</v>
      </c>
      <c r="B41" s="9" t="s">
        <v>60</v>
      </c>
      <c r="C41" s="6" t="n">
        <v>0</v>
      </c>
      <c r="D41" s="6" t="n">
        <v>46.2</v>
      </c>
      <c r="E41" s="6" t="n">
        <v>70.2</v>
      </c>
      <c r="F41" s="6" t="n">
        <v>109.3</v>
      </c>
      <c r="G41" s="6" t="n">
        <v>5.8</v>
      </c>
      <c r="H41" s="6" t="n">
        <v>75.9</v>
      </c>
      <c r="I41" s="6" t="n">
        <v>35</v>
      </c>
      <c r="J41" s="6" t="n">
        <v>101</v>
      </c>
      <c r="K41" s="6" t="n">
        <v>1.4</v>
      </c>
      <c r="L41" s="6" t="n">
        <v>70.4</v>
      </c>
      <c r="M41" s="6" t="n">
        <v>70.5</v>
      </c>
      <c r="N41" s="6" t="n">
        <v>75.8</v>
      </c>
      <c r="O41" s="6" t="n">
        <v>81.9</v>
      </c>
      <c r="P41" s="8" t="n">
        <f aca="false">SUM(C41:O41)</f>
        <v>743.4</v>
      </c>
    </row>
    <row r="42" customFormat="false" ht="15" hidden="false" customHeight="false" outlineLevel="0" collapsed="false">
      <c r="A42" s="9" t="s">
        <v>122</v>
      </c>
      <c r="B42" s="9" t="s">
        <v>60</v>
      </c>
      <c r="C42" s="6" t="n">
        <v>19.9</v>
      </c>
      <c r="D42" s="6" t="n">
        <v>29.7</v>
      </c>
      <c r="E42" s="6" t="n">
        <v>18.9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8" t="n">
        <f aca="false">SUM(C42:O42)</f>
        <v>68.5</v>
      </c>
    </row>
    <row r="43" customFormat="false" ht="15" hidden="false" customHeight="false" outlineLevel="0" collapsed="false">
      <c r="A43" s="9" t="s">
        <v>123</v>
      </c>
      <c r="B43" s="9" t="s">
        <v>60</v>
      </c>
      <c r="C43" s="2"/>
      <c r="D43" s="6" t="n">
        <v>0.5</v>
      </c>
      <c r="E43" s="6" t="n">
        <v>0.2</v>
      </c>
      <c r="F43" s="6" t="n">
        <v>4.8</v>
      </c>
      <c r="G43" s="6" t="n">
        <v>17.6</v>
      </c>
      <c r="H43" s="6" t="n">
        <v>12.2</v>
      </c>
      <c r="I43" s="6" t="n">
        <v>23.5</v>
      </c>
      <c r="J43" s="6" t="n">
        <v>0</v>
      </c>
      <c r="K43" s="6" t="n">
        <v>17.6</v>
      </c>
      <c r="L43" s="6" t="n">
        <v>17.6</v>
      </c>
      <c r="M43" s="6" t="n">
        <v>11.7</v>
      </c>
      <c r="N43" s="6" t="n">
        <v>5.9</v>
      </c>
      <c r="O43" s="6" t="n">
        <v>41.1</v>
      </c>
      <c r="P43" s="8" t="n">
        <f aca="false">SUM(C43:O43)</f>
        <v>152.7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2026-10-29T18:56:17Z</dcterms:created>
  <dc:creator>openpyxl</dc:creator>
  <dc:description/>
  <dc:language>en-US</dc:language>
  <cp:lastModifiedBy/>
  <dcterms:modified xsi:type="dcterms:W3CDTF">2026-10-29T18:56:17Z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